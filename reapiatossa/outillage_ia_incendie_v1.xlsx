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ossa56-my.sharepoint.com/personal/rnicolas_atossa_fr/Documents/2 - Commercial/Ato conseil/thesaurrus/files/"/>
    </mc:Choice>
  </mc:AlternateContent>
  <xr:revisionPtr revIDLastSave="2" documentId="11_D2A51C947D4A12BA3CF3791E5549EEC9181FF94E" xr6:coauthVersionLast="47" xr6:coauthVersionMax="47" xr10:uidLastSave="{9434F5F0-CCDF-4355-B37F-F78E2768E9BE}"/>
  <bookViews>
    <workbookView xWindow="-110" yWindow="-110" windowWidth="19420" windowHeight="11500" tabRatio="500" activeTab="1" xr2:uid="{00000000-000D-0000-FFFF-FFFF00000000}"/>
  </bookViews>
  <sheets>
    <sheet name="Notice" sheetId="1" r:id="rId1"/>
    <sheet name="Thésaurus" sheetId="2" r:id="rId2"/>
    <sheet name="Assertions_négatives" sheetId="3" r:id="rId3"/>
    <sheet name="Variables" sheetId="4" r:id="rId4"/>
    <sheet name="Jeu_référence" sheetId="5" r:id="rId5"/>
    <sheet name="Jeu_adverse" sheetId="6" r:id="rId6"/>
    <sheet name="Suivi_validation" sheetId="7" r:id="rId7"/>
  </sheets>
  <definedNames>
    <definedName name="_xlnm._FilterDatabase" localSheetId="2" hidden="1">Assertions_négatives!$A$1:$G$21</definedName>
    <definedName name="_xlnm._FilterDatabase" localSheetId="5" hidden="1">Jeu_adverse!$A$1:$J$61</definedName>
    <definedName name="_xlnm._FilterDatabase" localSheetId="4" hidden="1">Jeu_référence!$A$1:$N$151</definedName>
    <definedName name="_xlnm._FilterDatabase" localSheetId="1" hidden="1">Thésaurus!$A$1:$R$97</definedName>
    <definedName name="_xlnm._FilterDatabase" localSheetId="3" hidden="1">Variables!$A$1:$F$18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7" l="1"/>
  <c r="E7" i="7"/>
  <c r="D7" i="7"/>
  <c r="C7" i="7"/>
  <c r="G7" i="7" s="1"/>
  <c r="E6" i="7"/>
  <c r="D6" i="7"/>
  <c r="C6" i="7"/>
  <c r="G6" i="7" s="1"/>
  <c r="E5" i="7"/>
  <c r="D5" i="7"/>
  <c r="C5" i="7"/>
  <c r="G5" i="7" s="1"/>
  <c r="E4" i="7"/>
  <c r="E8" i="7" s="1"/>
  <c r="D4" i="7"/>
  <c r="D8" i="7" s="1"/>
  <c r="C4" i="7"/>
  <c r="G4" i="7" s="1"/>
  <c r="F4" i="7" l="1"/>
  <c r="F6" i="7"/>
  <c r="F5" i="7"/>
  <c r="F7" i="7"/>
  <c r="C8" i="7"/>
  <c r="G8" i="7" s="1"/>
  <c r="F8" i="7" l="1"/>
</calcChain>
</file>

<file path=xl/sharedStrings.xml><?xml version="1.0" encoding="utf-8"?>
<sst xmlns="http://schemas.openxmlformats.org/spreadsheetml/2006/main" count="3550" uniqueCount="1985">
  <si>
    <t>Outillage IA — recherche réglementaire sécurité incendie</t>
  </si>
  <si>
    <t>Livrables des étapes 1 et 2 de la méthode de conception</t>
  </si>
  <si>
    <t>Version</t>
  </si>
  <si>
    <t>1.0.0</t>
  </si>
  <si>
    <t>Date</t>
  </si>
  <si>
    <t>2026-07-30</t>
  </si>
  <si>
    <t>Périmètre</t>
  </si>
  <si>
    <t>ERP (arr. 25/06/1980) — Code du travail 4e partie — Habitation (CCH + arr. 31/01/1986)</t>
  </si>
  <si>
    <t>AVERTISSEMENT</t>
  </si>
  <si>
    <t>Les références d'articles sont des POINTS D'ENTRÉE, à vérifier dans la version en vigueur.</t>
  </si>
  <si>
    <t>La colonne confiance_reference vaut 'haute' ou 'a_verifier'.</t>
  </si>
  <si>
    <t>Aucune référence ne doit être restituée à un utilisateur final sans validation experte préalable.</t>
  </si>
  <si>
    <t>Recodifications à traiter : CCH R. 123-x -&gt; R. 143-x et L. 129-8 -&gt; L. 142-2 (2021) ;</t>
  </si>
  <si>
    <t>code du travail R. 232-12 et s. -&gt; R. 4227-1 et s. (2008).</t>
  </si>
  <si>
    <t>MODE D'EMPLOI</t>
  </si>
  <si>
    <t>Les cellules à fond jaune sont celles que l'expert renseigne (validation, réponse système).</t>
  </si>
  <si>
    <t>Onglet Thésaurus : valider terme par terme. Colonne VALIDATION_EXPERT = OK / A CORRIGER / A SUPPRIMER.</t>
  </si>
  <si>
    <t>Onglet Jeu_référence : mesure du rappel des articles et du comportement attendu.</t>
  </si>
  <si>
    <t>Onglet Jeu_adverse : mesure la résistance aux pièges. C'est ce jeu qui décide d'une mise en production.</t>
  </si>
  <si>
    <t>Onglet Assertions_négatives : à indexer comme documents à part entière dans la base.</t>
  </si>
  <si>
    <t>Les deux jeux ne doivent JAMAIS servir à l'entraînement : ils mesurent, ils n'apprennent pas.</t>
  </si>
  <si>
    <t>id</t>
  </si>
  <si>
    <t>theme</t>
  </si>
  <si>
    <t>terme_prefere</t>
  </si>
  <si>
    <t>definition</t>
  </si>
  <si>
    <t>synonymes_usage</t>
  </si>
  <si>
    <t>termes_obsoletes</t>
  </si>
  <si>
    <t>faux_amis</t>
  </si>
  <si>
    <t>corpus_ERP</t>
  </si>
  <si>
    <t>corpus_CT</t>
  </si>
  <si>
    <t>corpus_HAB</t>
  </si>
  <si>
    <t>autres_sources</t>
  </si>
  <si>
    <t>variables_determinantes</t>
  </si>
  <si>
    <t>niveau_normativite</t>
  </si>
  <si>
    <t>stade</t>
  </si>
  <si>
    <t>profils</t>
  </si>
  <si>
    <t>note_preventionniste</t>
  </si>
  <si>
    <t>confiance_reference</t>
  </si>
  <si>
    <t>VALIDATION_EXPERT</t>
  </si>
  <si>
    <t>NOT-0001</t>
  </si>
  <si>
    <t>T1 — Classement, champ d'application, seuils</t>
  </si>
  <si>
    <t>type d'exploitation</t>
  </si>
  <si>
    <t>Lettre caractérisant la nature de l'activité d'un ERP et commandant les dispositions particulières applicables.</t>
  </si>
  <si>
    <t>nature de l'activité | usage du bâtiment | c'est un magasin / un bureau / une salle</t>
  </si>
  <si>
    <t>GN 1 | GN 2</t>
  </si>
  <si>
    <t>type_erp | presence_public</t>
  </si>
  <si>
    <t>reglementaire</t>
  </si>
  <si>
    <t>conception | exploitation</t>
  </si>
  <si>
    <t>architecte</t>
  </si>
  <si>
    <t>Sans type ni catégorie, aucune recherche ERP n'aboutit : presque tout est conditionnel.</t>
  </si>
  <si>
    <t>a_verifier</t>
  </si>
  <si>
    <t>NOT-0002</t>
  </si>
  <si>
    <t>catégorie</t>
  </si>
  <si>
    <t>Classe de 1re à 5e déterminée par l'effectif admissible, commandant l'étendue des exigences.</t>
  </si>
  <si>
    <t>quelle catégorie | je suis en combien | c'est un petit ERP</t>
  </si>
  <si>
    <t>catégorie [ICPE] : chez un dirigeant, désigne souvent un régime ICPE (déclaration/enregistrement/autorisation) | catégorie [HAB] : en habitation la notion pertinente est la famille, pas la catégorie</t>
  </si>
  <si>
    <t>CCH R. 143-19 (ex-R. 123-19)</t>
  </si>
  <si>
    <t>categorie_erp | effectif_public</t>
  </si>
  <si>
    <t>architecte | dirigeant</t>
  </si>
  <si>
    <t>PIÈGE N°1 : faire préciser le corpus avant de chercher le mot « catégorie ».</t>
  </si>
  <si>
    <t>NOT-0003</t>
  </si>
  <si>
    <t>effectif théorique du public</t>
  </si>
  <si>
    <t>Effectif calculé selon les règles propres à chaque type, servant au classement et au calcul des dégagements.</t>
  </si>
  <si>
    <t>combien de personnes je peux recevoir | la jauge | capacité d'accueil</t>
  </si>
  <si>
    <t>GN 1 | GN 2 | dispositions particulières au type</t>
  </si>
  <si>
    <t>effectif_public | type_erp</t>
  </si>
  <si>
    <t>Trois modes possibles : déclaration, ratio surfacique, nombre de places. Ne pas confondre avec l'effectif du personnel.</t>
  </si>
  <si>
    <t>NOT-0004</t>
  </si>
  <si>
    <t>effectif (décompte code du travail)</t>
  </si>
  <si>
    <t>Effectif des travailleurs décompté selon les règles du code du travail, déclenchant certains seuils de prévention.</t>
  </si>
  <si>
    <t>combien de salariés | mes effectifs | on est une petite boîte</t>
  </si>
  <si>
    <t>L. 1111-2 | L. 1111-3 | R. 4227-34 | R. 4227-37</t>
  </si>
  <si>
    <t>effectif_travailleurs</t>
  </si>
  <si>
    <t>dirigeant</t>
  </si>
  <si>
    <t>Périmètre différent de l'effectif ERP : intérimaires, alternants et mis à disposition suivent des règles propres.</t>
  </si>
  <si>
    <t>NOT-0005</t>
  </si>
  <si>
    <t>famille</t>
  </si>
  <si>
    <t>Classe (1re, 2e, 3e A, 3e B, 4e) des bâtiments d'habitation déterminée par le nombre d'étages, la hauteur du plancher bas et l'accès des secours.</t>
  </si>
  <si>
    <t>mon immeuble est en quelle catégorie | petit collectif | grande tour</t>
  </si>
  <si>
    <t>arr. 31/01/1986 art. 3</t>
  </si>
  <si>
    <t>famille_habitation | nb_niveaux | hauteur_plancher_bas</t>
  </si>
  <si>
    <t>gestionnaire | architecte</t>
  </si>
  <si>
    <t>Équivalent fonctionnel de la catégorie ERP. Le gestionnaire dit souvent « catégorie » : reformuler.</t>
  </si>
  <si>
    <t>haute</t>
  </si>
  <si>
    <t>NOT-0006</t>
  </si>
  <si>
    <t>groupement d'établissements</t>
  </si>
  <si>
    <t>Ensemble d'établissements de types divers réunis dans un même bâtiment ou juxtaposés, classé et isolé selon des règles propres.</t>
  </si>
  <si>
    <t>centre commercial | plusieurs activités dans le même bâtiment | bâtiment mixte</t>
  </si>
  <si>
    <t>GN 2 | GN 3 | CO 6 à CO 10</t>
  </si>
  <si>
    <t>type_erp | categorie_erp</t>
  </si>
  <si>
    <t>Ne pas confondre avec l'isolement vis-à-vis des tiers, qui suppose des exploitations sans lien.</t>
  </si>
  <si>
    <t>NOT-0007</t>
  </si>
  <si>
    <t>tiers contigu ou superposé</t>
  </si>
  <si>
    <t>Occupant distinct, contigu ou superposé, vis-à-vis duquel un degré d'isolement est exigé.</t>
  </si>
  <si>
    <t>le voisin | mitoyenneté | le logement au-dessus | le commerce en pied d'immeuble</t>
  </si>
  <si>
    <t>CO 6 | CO 7 | CO 8 | CO 9 | CO 10</t>
  </si>
  <si>
    <t>arr. 31/01/1986 art. 5</t>
  </si>
  <si>
    <t>corpus | type_erp | famille_habitation</t>
  </si>
  <si>
    <t>architecte | gestionnaire</t>
  </si>
  <si>
    <t>L'exigence est renforcée lorsque le tiers relève de l'habitation ou d'une ICPE.</t>
  </si>
  <si>
    <t>NOT-0008</t>
  </si>
  <si>
    <t>immeuble de grande hauteur</t>
  </si>
  <si>
    <t>Bâtiment dont le plancher bas du dernier niveau dépasse 50 m en habitation, 28 m dans les autres cas, soumis à un régime autonome.</t>
  </si>
  <si>
    <t>tour | IGH | immeuble de plus de 28 mètres</t>
  </si>
  <si>
    <t>CCH L. 146-1 et s. | CCH R. 146-1 et s. | arrêté du 30/12/2011</t>
  </si>
  <si>
    <t>hauteur_plancher_bas</t>
  </si>
  <si>
    <t>Le régime IGH se substitue à l'ERP pour les dispositions générales et impose un service de sécurité permanent.</t>
  </si>
  <si>
    <t>NOT-0009</t>
  </si>
  <si>
    <t>application aux bâtiments existants</t>
  </si>
  <si>
    <t>Régime déterminant dans quelle mesure les dispositions nouvelles s'appliquent à un bâtiment déjà édifié et ce que déclenchent des travaux.</t>
  </si>
  <si>
    <t>dois-je tout remettre aux normes | mon bâtiment date de 1985 | grand-père du bâtiment</t>
  </si>
  <si>
    <t>GN 6 | GN 7 | GN 10</t>
  </si>
  <si>
    <t>R. 4211-1 et s.</t>
  </si>
  <si>
    <t>arr. 31/01/1986 — dispositions transitoires</t>
  </si>
  <si>
    <t>existant_ou_neuf | date_effet</t>
  </si>
  <si>
    <t>architecte | dirigeant | gestionnaire</t>
  </si>
  <si>
    <t>Question systématiquement sous-estimée. La réponse dépend de la date du permis, pas de la date de la demande.</t>
  </si>
  <si>
    <t>NOT-0010</t>
  </si>
  <si>
    <t>dérogation</t>
  </si>
  <si>
    <t>Autorisation de s'écarter d'une prescription, accordée après avis motivé de la commission de sécurité et assortie de mesures compensatoires.</t>
  </si>
  <si>
    <t>j'ai une dérogation | on peut y couper | faire une demande spéciale</t>
  </si>
  <si>
    <t>GN 4 | GN 5</t>
  </si>
  <si>
    <t>CCH R. 143-11 (ex-R. 123-13)</t>
  </si>
  <si>
    <t>N'existe pas en tant que telle en code du travail : on y raisonne en démonstration d'équivalence du niveau de sécurité.</t>
  </si>
  <si>
    <t>NOT-0011</t>
  </si>
  <si>
    <t>mesure compensatoire</t>
  </si>
  <si>
    <t>Disposition supplémentaire justifiant qu'un niveau de sécurité équivalent est atteint malgré un écart à la règle.</t>
  </si>
  <si>
    <t>compensation | mesure de substitution | solution alternative</t>
  </si>
  <si>
    <t>doctrinal</t>
  </si>
  <si>
    <t>Le contenu relève de l'appréciation de la commission : le système doit orienter, pas trancher.</t>
  </si>
  <si>
    <t>NOT-0012</t>
  </si>
  <si>
    <t>installation classée pour la protection de l'environnement</t>
  </si>
  <si>
    <t>Régime distinct s'appliquant aux activités et stockages dépassant les seuils de la nomenclature.</t>
  </si>
  <si>
    <t>ICPE | rubrique 1510 | on est classé | arrêté préfectoral</t>
  </si>
  <si>
    <t>Code de l'environnement L. 511-1 et s. | nomenclature ICPE</t>
  </si>
  <si>
    <t>nature_risque</t>
  </si>
  <si>
    <t>dirigeant | gestionnaire</t>
  </si>
  <si>
    <t>En cas de concurrence avec le code du travail, la disposition la plus contraignante s'applique.</t>
  </si>
  <si>
    <t>NOT-0013</t>
  </si>
  <si>
    <t>T2 — Accès des secours, implantation, façades</t>
  </si>
  <si>
    <t>voie engin</t>
  </si>
  <si>
    <t>Voie utilisable par les engins de secours, définie par des caractéristiques de largeur, force portante, pente et rayon de giration.</t>
  </si>
  <si>
    <t>accès pompiers | voie pompier | la route pour les camions</t>
  </si>
  <si>
    <t>CO 2 | CO 3 | CO 5</t>
  </si>
  <si>
    <t>arr. 31/01/1986 art. 4</t>
  </si>
  <si>
    <t>type_erp | categorie_erp | famille_habitation</t>
  </si>
  <si>
    <t>NOT-0014</t>
  </si>
  <si>
    <t>voie échelle</t>
  </si>
  <si>
    <t>Section de voie engin permettant la mise en station des moyens élévateurs aériens.</t>
  </si>
  <si>
    <t>accès grande échelle | emplacement pour la nacelle</t>
  </si>
  <si>
    <t>CO 2 | CO 4 | CO 5</t>
  </si>
  <si>
    <t>hauteur_plancher_bas | famille_habitation</t>
  </si>
  <si>
    <t>NOT-0015</t>
  </si>
  <si>
    <t>espace libre</t>
  </si>
  <si>
    <t>Espace permettant l'accès et la mise en œuvre des moyens de secours à défaut de voie engin.</t>
  </si>
  <si>
    <t>dégagement extérieur | la cour</t>
  </si>
  <si>
    <t>CO 2</t>
  </si>
  <si>
    <t>type_erp</t>
  </si>
  <si>
    <t>NOT-0016</t>
  </si>
  <si>
    <t>façade accessible</t>
  </si>
  <si>
    <t>Façade permettant aux services de secours d'accéder à tous les niveaux par des baies répondant à des caractéristiques définies.</t>
  </si>
  <si>
    <t>façade pompier | combien de côtés accessibles</t>
  </si>
  <si>
    <t>CO 2 | CO 3</t>
  </si>
  <si>
    <t>categorie_erp | famille_habitation</t>
  </si>
  <si>
    <t>NOT-0017</t>
  </si>
  <si>
    <t>défense extérieure contre l'incendie</t>
  </si>
  <si>
    <t>Ensemble des points d'eau incendie destinés à l'alimentation des moyens de lutte, dimensionné au niveau départemental.</t>
  </si>
  <si>
    <t>poteau incendie | borne à incendie | la bouche dans la rue | DECI | besoins en eau</t>
  </si>
  <si>
    <t>CGCT L. 2225-1 et s. | CGCT R. 2225-1 et s. | RDDECI départemental</t>
  </si>
  <si>
    <t>nature_risque | surface_local</t>
  </si>
  <si>
    <t>Ne pas chercher dans l'arrêté de 1980 : la règle est départementale et varie d'un département à l'autre.</t>
  </si>
  <si>
    <t>NOT-0018</t>
  </si>
  <si>
    <t>propagation du feu par les façades</t>
  </si>
  <si>
    <t>Règles limitant la transmission du feu d'un niveau à l'autre par la façade, notamment par la règle C + D.</t>
  </si>
  <si>
    <t>C+D | règle du C plus D | le feu qui monte par la façade</t>
  </si>
  <si>
    <t>CO 19 | CO 20 | CO 21 | CO 22</t>
  </si>
  <si>
    <t>arr. 31/01/1986</t>
  </si>
  <si>
    <t>instruction technique n° 249</t>
  </si>
  <si>
    <t>type_erp | famille_habitation</t>
  </si>
  <si>
    <t>interpretatif</t>
  </si>
  <si>
    <t>NOT-0019</t>
  </si>
  <si>
    <t>système d'isolation thermique par l'extérieur</t>
  </si>
  <si>
    <t>Complexe d'isolation rapporté en façade, soumis à des règles de recoupement de lame d'air et de protection des baies lorsque l'isolant est combustible.</t>
  </si>
  <si>
    <t>ITE | isolation par l'extérieur | on met de l'isolant sur la façade | rénovation énergétique</t>
  </si>
  <si>
    <t>instruction technique n° 249 | guides de préconisations ITE</t>
  </si>
  <si>
    <t>famille_habitation | type_erp</t>
  </si>
  <si>
    <t>Point de friction majeur entre performance énergétique et sécurité incendie en réhabilitation.</t>
  </si>
  <si>
    <t>NOT-0020</t>
  </si>
  <si>
    <t>T3 — Structure, compartimentage, comportement au feu</t>
  </si>
  <si>
    <t>résistance au feu</t>
  </si>
  <si>
    <t>Aptitude d'un élément à conserver pendant une durée déterminée sa capacité portante (R), son étanchéité (E) et son isolation thermique (I).</t>
  </si>
  <si>
    <t>coupe-feu | CF 1 heure | pare-flamme | PF 1/2 heure | tenue au feu | degré coupe-feu</t>
  </si>
  <si>
    <t>CF (coupe-feu) -&gt; EI ou REI (2004-03-22) | PF (pare-flamme) -&gt; E ou EI partiel (2004-03-22) | SF (stabilité au feu) -&gt; R (2004-03-22)</t>
  </si>
  <si>
    <t>CO 11 | CO 12</t>
  </si>
  <si>
    <t>R. 4216-1 et s.</t>
  </si>
  <si>
    <t>arr. 31/01/1986 art. 7 et s.</t>
  </si>
  <si>
    <t>arrêté du 22/03/2004</t>
  </si>
  <si>
    <t>categorie_erp | famille_habitation | hauteur_plancher_bas</t>
  </si>
  <si>
    <t>PIÈGE N°2 : « coupe-feu » ne figure plus dans les textes postérieurs à 2004 mais reste employé par tous. Chercher EI / REI.</t>
  </si>
  <si>
    <t>NOT-0021</t>
  </si>
  <si>
    <t>stabilité au feu des structures</t>
  </si>
  <si>
    <t>Durée pendant laquelle les éléments porteurs conservent leur capacité portante en situation d'incendie.</t>
  </si>
  <si>
    <t>SF 1 heure | tenue de la charpente | est-ce que ça tient</t>
  </si>
  <si>
    <t>SF -&gt; R (2004-03-22)</t>
  </si>
  <si>
    <t>CO 12</t>
  </si>
  <si>
    <t>categorie_erp | hauteur_plancher_bas | nb_niveaux</t>
  </si>
  <si>
    <t>En code du travail, l'exigence de stabilité est ténue pour les bâtiments industriels : vérifier si elle procède plutôt de l'ICPE ou du contrat d'assurance.</t>
  </si>
  <si>
    <t>NOT-0022</t>
  </si>
  <si>
    <t>procès-verbal de classement</t>
  </si>
  <si>
    <t>Document délivré par un laboratoire agréé attestant du classement de réaction ou de résistance au feu d'un produit ou d'un ouvrage.</t>
  </si>
  <si>
    <t>PV feu | certificat | fiche technique | attestation du fabricant | le doc du fournisseur</t>
  </si>
  <si>
    <t>arrêté du 21/11/2002 | arrêté du 22/03/2004</t>
  </si>
  <si>
    <t>date_effet</t>
  </si>
  <si>
    <t>Vérifier la validité, le domaine d'emploi et la mise en œuvre couverte : un PV hors domaine ne vaut rien.</t>
  </si>
  <si>
    <t>NOT-0023</t>
  </si>
  <si>
    <t>réaction au feu</t>
  </si>
  <si>
    <t>Aliment que constitue un matériau pour le développement du feu, exprimé par les euroclasses.</t>
  </si>
  <si>
    <t>M0 | M1 | classement au feu du revêtement | matériau ininflammable | A2-s1,d0 | Bfl-s1</t>
  </si>
  <si>
    <t>M0 à M4 -&gt; euroclasses A1 à F (2002-11-21)</t>
  </si>
  <si>
    <t>AM 1 à AM 8</t>
  </si>
  <si>
    <t>arrêté du 21/11/2002</t>
  </si>
  <si>
    <t>type_erp | niveau_local</t>
  </si>
  <si>
    <t>Les classements M subsistent dans les documents anciens ; la table de correspondance figure à l'arrêté du 21/11/2002.</t>
  </si>
  <si>
    <t>NOT-0024</t>
  </si>
  <si>
    <t>local à risques particuliers</t>
  </si>
  <si>
    <t>Local classé à risques moyens ou importants en raison de son contenu ou de son activité, soumis à des exigences d'isolement renforcées.</t>
  </si>
  <si>
    <t>local technique | local à risque | la chaufferie | le local archives | réserve</t>
  </si>
  <si>
    <t>local à risques particuliers [CT] : le code du travail parle de locaux présentant des risques particuliers d'incendie ou d'explosion : périmètre et conséquences distincts</t>
  </si>
  <si>
    <t>CO 27 | CO 28</t>
  </si>
  <si>
    <t>R. 4216-1 et s. | R. 4227-22 et s.</t>
  </si>
  <si>
    <t>NOT-0025</t>
  </si>
  <si>
    <t>calfeutrement de traversée</t>
  </si>
  <si>
    <t>Rétablissement du degré coupe-feu d'une paroi traversée par un conduit, un câble ou une canalisation.</t>
  </si>
  <si>
    <t>rebouchage | on a percé la dalle | passage de câbles | trou dans le mur</t>
  </si>
  <si>
    <t>CO 30 | CO 31 | CO 32 | CO 33</t>
  </si>
  <si>
    <t>arr. 31/01/1986 art. 25 et s.</t>
  </si>
  <si>
    <t>corpus</t>
  </si>
  <si>
    <t>Défaut le plus fréquent en patrimoine existant, généré par les passages successifs de réseaux.</t>
  </si>
  <si>
    <t>NOT-0026</t>
  </si>
  <si>
    <t>clapet coupe-feu</t>
  </si>
  <si>
    <t>Dispositif d'obturation automatique rétablissant le degré coupe-feu d'une paroi traversée par un conduit aéraulique.</t>
  </si>
  <si>
    <t>clapet | volet coupe-feu | trappe dans la gaine</t>
  </si>
  <si>
    <t>CO 31</t>
  </si>
  <si>
    <t>instruction technique n° 246</t>
  </si>
  <si>
    <t>NOT-0027</t>
  </si>
  <si>
    <t>gaine technique</t>
  </si>
  <si>
    <t>Volume vertical ou horizontal contenant des conduits ou des réseaux, soumis à des règles de recoupement.</t>
  </si>
  <si>
    <t>gaine | trémie | colonne montante | le vide technique</t>
  </si>
  <si>
    <t>CO 30 à CO 33</t>
  </si>
  <si>
    <t>corpus | famille_habitation</t>
  </si>
  <si>
    <t>NOT-0028</t>
  </si>
  <si>
    <t>plafond suspendu</t>
  </si>
  <si>
    <t>Plafond rapporté créant un plénum, soumis à des exigences de réaction au feu et de recoupement des vides.</t>
  </si>
  <si>
    <t>faux plafond | plénum | le vide au-dessus des dalles</t>
  </si>
  <si>
    <t>AM 4</t>
  </si>
  <si>
    <t>surface_local</t>
  </si>
  <si>
    <t>NOT-0029</t>
  </si>
  <si>
    <t>cloisonnement traditionnel</t>
  </si>
  <si>
    <t>Mode de distribution intérieure fondé sur des locaux et circulations recoupés, par opposition aux secteurs et compartiments.</t>
  </si>
  <si>
    <t>recoupement | cloisonnement | découper en zones</t>
  </si>
  <si>
    <t>CO 24 | CO 25 | CO 26</t>
  </si>
  <si>
    <t>NOT-0030</t>
  </si>
  <si>
    <t>secteur</t>
  </si>
  <si>
    <t>Mode de distribution alternatif au cloisonnement traditionnel, fondé sur des volumes séparés par des parois coupe-feu et des dispositifs particuliers.</t>
  </si>
  <si>
    <t>grande surface sans cloisons | zone</t>
  </si>
  <si>
    <t>CO 24 | CO 25</t>
  </si>
  <si>
    <t>NOT-0031</t>
  </si>
  <si>
    <t>compartiment</t>
  </si>
  <si>
    <t>Volume délimité par des parois coupe-feu au sein duquel l'évacuation est différée, admis dans certaines configurations.</t>
  </si>
  <si>
    <t>évacuation horizontale | transfert latéral</t>
  </si>
  <si>
    <t>NOT-0032</t>
  </si>
  <si>
    <t>volume libre intérieur</t>
  </si>
  <si>
    <t>Volume intéressant plusieurs niveaux, soumis à des dispositions particulières de désenfumage et d'évacuation.</t>
  </si>
  <si>
    <t>atrium | patio couvert | vide sur plusieurs étages | mezzanine ouverte</t>
  </si>
  <si>
    <t>CO 24 à CO 26</t>
  </si>
  <si>
    <t>instruction technique n° 263</t>
  </si>
  <si>
    <t>type_erp | categorie_erp | nb_niveaux</t>
  </si>
  <si>
    <t>NOT-0033</t>
  </si>
  <si>
    <t>bloc-porte palier</t>
  </si>
  <si>
    <t>Porte séparant un logement de la circulation commune, présentant un degré pare-flamme selon la famille.</t>
  </si>
  <si>
    <t>porte palière | porte d'entrée du logement | la porte du locataire</t>
  </si>
  <si>
    <t>arr. 31/01/1986 art. 11 | arr. 31/01/1986 art. 27 | arr. 31/01/1986 art. 32</t>
  </si>
  <si>
    <t>famille_habitation</t>
  </si>
  <si>
    <t>gestionnaire</t>
  </si>
  <si>
    <t>Le remplacement par l'occupant d'un bloc-porte classé par un modèle du commerce est un point de contrôle récurrent.</t>
  </si>
  <si>
    <t>NOT-0034</t>
  </si>
  <si>
    <t>T4 — Dégagements et évacuation</t>
  </si>
  <si>
    <t>dégagement</t>
  </si>
  <si>
    <t>Toute partie de la construction permettant le cheminement d'évacuation des occupants : porte, circulation, escalier, sortie.</t>
  </si>
  <si>
    <t>issue de secours | sortie de secours | porte de secours | les issues | la sortie</t>
  </si>
  <si>
    <t>CO 34 | CO 35 | CO 36 | CO 38 | CO 43</t>
  </si>
  <si>
    <t>R. 4216-6 et s. | R. 4227-1 | R. 4227-4</t>
  </si>
  <si>
    <t>arr. 31/01/1986 art. 26 et s.</t>
  </si>
  <si>
    <t>effectif_public | effectif_travailleurs | categorie_erp</t>
  </si>
  <si>
    <t>PIÈGE N°3 : « issue de secours » est un terme de chantier absent du règlement. Chercher « dégagement » ramène la règle ; « issue de secours » ne ramène que de la signalisation.</t>
  </si>
  <si>
    <t>NOT-0035</t>
  </si>
  <si>
    <t>unité de passage</t>
  </si>
  <si>
    <t>Unité de largeur servant au dimensionnement des dégagements.</t>
  </si>
  <si>
    <t>UP | largeur de porte | combien de centimètres</t>
  </si>
  <si>
    <t>CO 36 | CO 38</t>
  </si>
  <si>
    <t>R. 4216-8</t>
  </si>
  <si>
    <t>effectif_public | effectif_travailleurs</t>
  </si>
  <si>
    <t>NOT-0036</t>
  </si>
  <si>
    <t>dégagement accessoire</t>
  </si>
  <si>
    <t>Dégagement compensant une insuffisance des dégagements normaux, comptabilisé de façon limitée.</t>
  </si>
  <si>
    <t>sortie de secours en plus | la petite porte du fond</t>
  </si>
  <si>
    <t>CO 34 | CO 39 | CO 41</t>
  </si>
  <si>
    <t>effectif_public</t>
  </si>
  <si>
    <t>Ne pas confondre avec le dégagement supplémentaire ni avec le dégagement de secours.</t>
  </si>
  <si>
    <t>NOT-0037</t>
  </si>
  <si>
    <t>circulation horizontale</t>
  </si>
  <si>
    <t>Cheminement horizontal d'évacuation, éventuellement encloisonné et desservant les dégagements.</t>
  </si>
  <si>
    <t>couloir | coursive | le hall | circulation</t>
  </si>
  <si>
    <t>circulation horizontale commune [HAB] : en habitation, la notion est indissociable du régime des parties communes</t>
  </si>
  <si>
    <t>CO 34 | CO 44</t>
  </si>
  <si>
    <t>NOT-0038</t>
  </si>
  <si>
    <t>escalier encloisonné</t>
  </si>
  <si>
    <t>Escalier isolé du reste de la construction par des parois coupe-feu et un dispositif de fermeture.</t>
  </si>
  <si>
    <t>cage d'escalier | escalier fermé | l'escalier</t>
  </si>
  <si>
    <t>CO 50 | CO 51 | CO 52 | CO 53 | CO 55</t>
  </si>
  <si>
    <t>arr. 31/01/1986 art. 27 et s.</t>
  </si>
  <si>
    <t>NOT-0039</t>
  </si>
  <si>
    <t>escalier à l'air libre</t>
  </si>
  <si>
    <t>Escalier dont une paroi comporte des vides suffisants sur l'extérieur, dispensé d'encloisonnement.</t>
  </si>
  <si>
    <t>escalier extérieur | escalier ouvert</t>
  </si>
  <si>
    <t>CO 52</t>
  </si>
  <si>
    <t>famille_habitation | categorie_erp</t>
  </si>
  <si>
    <t>NOT-0040</t>
  </si>
  <si>
    <t>escalier unique</t>
  </si>
  <si>
    <t>Configuration de desserte par un seul escalier, admise sous conditions d'effectif, de hauteur et de mesures compensatoires.</t>
  </si>
  <si>
    <t>un seul escalier | il n'y a qu'une cage</t>
  </si>
  <si>
    <t>CO 39 | CO 40</t>
  </si>
  <si>
    <t>categorie_erp | famille_habitation | nb_niveaux</t>
  </si>
  <si>
    <t>NOT-0041</t>
  </si>
  <si>
    <t>distance à parcourir</t>
  </si>
  <si>
    <t>Longueur du cheminement mesurée suivant l'axe des circulations jusqu'à une sortie ou un escalier protégé.</t>
  </si>
  <si>
    <t>distance de fuite | à quelle distance de la sortie | combien de mètres</t>
  </si>
  <si>
    <t>CO 43</t>
  </si>
  <si>
    <t>R. 4216-6 et s.</t>
  </si>
  <si>
    <t>arr. 31/01/1986 art. 12</t>
  </si>
  <si>
    <t>corpus | niveau_local</t>
  </si>
  <si>
    <t>NOT-0042</t>
  </si>
  <si>
    <t>sens d'ouverture des portes</t>
  </si>
  <si>
    <t>Règle imposant, au-delà d'un effectif donné, l'ouverture des portes dans le sens de l'évacuation.</t>
  </si>
  <si>
    <t>porte qui s'ouvre vers l'extérieur | sens de la porte</t>
  </si>
  <si>
    <t>CO 45</t>
  </si>
  <si>
    <t>R. 4227-1 et s.</t>
  </si>
  <si>
    <t>NOT-0043</t>
  </si>
  <si>
    <t>verrouillage des issues</t>
  </si>
  <si>
    <t>Régime des dispositifs de condamnation ou de contrôle d'accès équipant une porte de sortie de secours.</t>
  </si>
  <si>
    <t>porte fermée à clé | contrôle d'accès | j'ai verrouillé pour le vol | barre anti-panique | digicode sur la sortie</t>
  </si>
  <si>
    <t>CO 46</t>
  </si>
  <si>
    <t>R. 4227-4 | R. 4227-5</t>
  </si>
  <si>
    <t>corpus | effectif_public</t>
  </si>
  <si>
    <t>Conflit récurrent entre sûreté et sécurité : la réponse est technique (dispositif admis), pas organisationnelle.</t>
  </si>
  <si>
    <t>NOT-0044</t>
  </si>
  <si>
    <t>maintien des dégagements libres</t>
  </si>
  <si>
    <t>Obligation permanente de laisser les dégagements exempts de tout obstacle et de tout dépôt.</t>
  </si>
  <si>
    <t>on stocke dans le couloir | encombrement | les poussettes dans le hall | les vélos dans l'escalier | cartons devant la porte</t>
  </si>
  <si>
    <t>CO 36</t>
  </si>
  <si>
    <t>R. 4227-4 | R. 4227-11</t>
  </si>
  <si>
    <t>règlement sanitaire départemental</t>
  </si>
  <si>
    <t>exploitation</t>
  </si>
  <si>
    <t>En habitation, le fondement est contractuel et sanitaire davantage que constructif.</t>
  </si>
  <si>
    <t>NOT-0045</t>
  </si>
  <si>
    <t>lieu sûr</t>
  </si>
  <si>
    <t>Endroit où les personnes évacuées sont à l'abri des effets de l'incendie.</t>
  </si>
  <si>
    <t>point de rassemblement | où on se retrouve dehors | zone de regroupement</t>
  </si>
  <si>
    <t>R. 4227-1</t>
  </si>
  <si>
    <t>usage_professionnel</t>
  </si>
  <si>
    <t>« Point de rassemblement » n'est pas un terme réglementaire : sa désignation relève de la consigne de sécurité incendie.</t>
  </si>
  <si>
    <t>NOT-0046</t>
  </si>
  <si>
    <t>espace d'attente sécurisé</t>
  </si>
  <si>
    <t>Zone protégée permettant à une personne ne pouvant évacuer d'attendre l'intervention des secours.</t>
  </si>
  <si>
    <t>EAS | zone refuge | local pour les PMR | où mettre les personnes handicapées</t>
  </si>
  <si>
    <t>CO 57 | CO 58 | CO 59 | CO 60</t>
  </si>
  <si>
    <t>R. 4216-2-1 | R. 4214-26 | R. 4214-27 | R. 4214-28</t>
  </si>
  <si>
    <t>categorie_erp | nb_niveaux</t>
  </si>
  <si>
    <t>Notion absente du corpus habitation : ne pas la transposer aux logements.</t>
  </si>
  <si>
    <t>NOT-0047</t>
  </si>
  <si>
    <t>évacuation différée</t>
  </si>
  <si>
    <t>Mode d'évacuation reportant la mise à l'abri définitive de certains occupants, organisé par les consignes.</t>
  </si>
  <si>
    <t>on ne fait pas sortir tout le monde | mise à l'abri | évacuation par phases</t>
  </si>
  <si>
    <t>CO 57 à CO 60</t>
  </si>
  <si>
    <t>R. 4227-37 | R. 4227-38</t>
  </si>
  <si>
    <t>NOT-0048</t>
  </si>
  <si>
    <t>T5 — Désenfumage et ventilation</t>
  </si>
  <si>
    <t>désenfumage</t>
  </si>
  <si>
    <t>Extraction des fumées et gaz de combustion destinée à maintenir praticables les cheminements d'évacuation.</t>
  </si>
  <si>
    <t>évacuation des fumées | trappe de fumée | les fumées | extraction</t>
  </si>
  <si>
    <t>DF 1 à DF 10</t>
  </si>
  <si>
    <t>R. 4216-13 | R. 4216-14 | R. 4216-15</t>
  </si>
  <si>
    <t>arr. 31/01/1986 art. 30 et s.</t>
  </si>
  <si>
    <t>instruction technique n° 246 | arrêté du 05/08/1992</t>
  </si>
  <si>
    <t>corpus | surface_local | niveau_local</t>
  </si>
  <si>
    <t>NOT-0049</t>
  </si>
  <si>
    <t>dispositif d'évacuation naturelle de fumées et de chaleur</t>
  </si>
  <si>
    <t>Ouvrant en toiture ou en façade assurant l'évacuation naturelle des fumées.</t>
  </si>
  <si>
    <t>DENFC | exutoire | trappe de désenfumage | lanterneau | les capots sur le toit</t>
  </si>
  <si>
    <t>DF 4 à DF 8</t>
  </si>
  <si>
    <t>NOT-0050</t>
  </si>
  <si>
    <t>surface utile d'évacuation des fumées</t>
  </si>
  <si>
    <t>Surface efficace d'un dispositif d'évacuation, distincte de sa surface géométrique.</t>
  </si>
  <si>
    <t>SUE | surface de désenfumage | combien de mètres carrés d'exutoire</t>
  </si>
  <si>
    <t>DF 4 et s.</t>
  </si>
  <si>
    <t>NOT-0051</t>
  </si>
  <si>
    <t>amenée d'air</t>
  </si>
  <si>
    <t>Dispositif assurant l'apport d'air compensant l'extraction des fumées.</t>
  </si>
  <si>
    <t>entrée d'air | air frais | compensation</t>
  </si>
  <si>
    <t>NOT-0052</t>
  </si>
  <si>
    <t>local sans ouverture sur l'extérieur</t>
  </si>
  <si>
    <t>Local ne disposant d'aucune baie donnant sur l'extérieur, soumis à des exigences renforcées de désenfumage.</t>
  </si>
  <si>
    <t>local aveugle | pas de fenêtre | local borgne | en sous-sol</t>
  </si>
  <si>
    <t>DF 4 à DF 6</t>
  </si>
  <si>
    <t>R. 4216-13</t>
  </si>
  <si>
    <t>niveau_local | surface_local</t>
  </si>
  <si>
    <t>NOT-0053</t>
  </si>
  <si>
    <t>dispositif de sécurité collective (VMC gaz)</t>
  </si>
  <si>
    <t>Organe assurant la mise en sécurité d'une installation de ventilation mécanique desservant des appareils à gaz raccordés.</t>
  </si>
  <si>
    <t>VMC gaz | DSC | la ventilation avec les chaudières | sécurité collective</t>
  </si>
  <si>
    <t>arrêté du 23/02/2018 (installations de gaz)</t>
  </si>
  <si>
    <t>Point de vérification périodique majeur en patrimoine locatif ; l'inaccessibilité des logements est le principal obstacle.</t>
  </si>
  <si>
    <t>NOT-0054</t>
  </si>
  <si>
    <t>conduit de fumée</t>
  </si>
  <si>
    <t>Conduit d'évacuation des produits de combustion, soumis à des obligations d'entretien et de ramonage.</t>
  </si>
  <si>
    <t>cheminée | ramonage | le conduit de la chaudière</t>
  </si>
  <si>
    <t>règlement sanitaire départemental | décret n° 87-712 (réparations locatives)</t>
  </si>
  <si>
    <t>qualite_demandeur</t>
  </si>
  <si>
    <t>La répartition propriétaire / occupant se lit dans le décret sur les réparations locatives, pas dans le CCH.</t>
  </si>
  <si>
    <t>NOT-0055</t>
  </si>
  <si>
    <t>T6 — Alarme, détection, moyens de secours</t>
  </si>
  <si>
    <t>équipement d'alarme</t>
  </si>
  <si>
    <t>Ensemble des dispositifs assurant la diffusion du signal d'évacuation, classé en types 1 à 4.</t>
  </si>
  <si>
    <t>alarme incendie | la sirène | l'alarme | type 4 | sonnerie</t>
  </si>
  <si>
    <t>alerte [tous] : l'alarme prévient les occupants, l'alerte prévient les secours : ne jamais les confondre</t>
  </si>
  <si>
    <t>MS 61 à MS 67</t>
  </si>
  <si>
    <t>R. 4227-34 | R. 4227-35 | R. 4227-36</t>
  </si>
  <si>
    <t>type_erp | categorie_erp | effectif_travailleurs</t>
  </si>
  <si>
    <t>PIÈGE N°4 : reformuler systématiquement avant d'instruire. Notion absente de l'habitation ordinaire.</t>
  </si>
  <si>
    <t>NOT-0056</t>
  </si>
  <si>
    <t>alerte</t>
  </si>
  <si>
    <t>Transmission de l'information aux services publics de secours.</t>
  </si>
  <si>
    <t>appeler les pompiers | prévenir les secours | le 18</t>
  </si>
  <si>
    <t>MS 70 et s.</t>
  </si>
  <si>
    <t>R. 4227-37</t>
  </si>
  <si>
    <t>NOT-0057</t>
  </si>
  <si>
    <t>système de sécurité incendie</t>
  </si>
  <si>
    <t>Ensemble des matériels assurant la détection, la mise en sécurité et l'alarme, classé de la catégorie A à E.</t>
  </si>
  <si>
    <t>SSI | la centrale | le tableau incendie | l'armoire | catégorie A</t>
  </si>
  <si>
    <t>MS 53 à MS 60</t>
  </si>
  <si>
    <t>norme NF S 61-931 et suivantes</t>
  </si>
  <si>
    <t>Les normes NF S 61-93x sont sous droits : les référencer, jamais les restituer.</t>
  </si>
  <si>
    <t>NOT-0058</t>
  </si>
  <si>
    <t>centralisateur de mise en sécurité incendie</t>
  </si>
  <si>
    <t>Équipement recevant les informations et commandant les dispositifs actionnés de sécurité.</t>
  </si>
  <si>
    <t>CMSI | la centrale de mise en sécurité</t>
  </si>
  <si>
    <t>norme NF S 61-931</t>
  </si>
  <si>
    <t>NOT-0059</t>
  </si>
  <si>
    <t>détection automatique d'incendie</t>
  </si>
  <si>
    <t>Installation assurant la détection précoce d'un sinistre et le déclenchement des asservissements.</t>
  </si>
  <si>
    <t>détection | détecteurs au plafond | DAI | capteurs de fumée</t>
  </si>
  <si>
    <t>MS 56</t>
  </si>
  <si>
    <t>R. 4227-30</t>
  </si>
  <si>
    <t>type_erp | categorie_erp | nature_risque</t>
  </si>
  <si>
    <t>Distinguer détection généralisée et détection limitée aux seuls locaux à risques ou aux circulations.</t>
  </si>
  <si>
    <t>NOT-0060</t>
  </si>
  <si>
    <t>détecteur de fumée normalisé</t>
  </si>
  <si>
    <t>Détecteur autonome avertisseur installé dans les logements, à la charge du propriétaire pour l'installation.</t>
  </si>
  <si>
    <t>DAAF | détecteur de fumée | le détecteur du logement | l'alarme du locataire</t>
  </si>
  <si>
    <t>CCH L. 142-2 et s. (ex-L. 129-8) | arrêté du 05/02/2013 | décret n° 2011-36</t>
  </si>
  <si>
    <t>Répartition légale : installation au propriétaire, entretien à l'occupant. Ne pas confondre avec la DAI d'un SSI.</t>
  </si>
  <si>
    <t>NOT-0061</t>
  </si>
  <si>
    <t>extincteur portatif</t>
  </si>
  <si>
    <t>Appareil mobile d'extinction, dont le nombre et la nature sont fonction de la surface et des risques.</t>
  </si>
  <si>
    <t>extincteur | les bouteilles rouges | un par étage</t>
  </si>
  <si>
    <t>MS 38 | MS 39</t>
  </si>
  <si>
    <t>R. 4227-28 | R. 4227-29</t>
  </si>
  <si>
    <t>surface_local | nature_risque</t>
  </si>
  <si>
    <t>dirigeant | architecte</t>
  </si>
  <si>
    <t>Notion absente du corpus habitation : leur présence en parties communes relève de l'assurance ou du volontariat.</t>
  </si>
  <si>
    <t>NOT-0062</t>
  </si>
  <si>
    <t>robinet d'incendie armé</t>
  </si>
  <si>
    <t>Poste fixe de première intervention alimenté en eau.</t>
  </si>
  <si>
    <t>RIA | le tuyau dans le placard | dévidoir</t>
  </si>
  <si>
    <t>MS 14 à MS 17</t>
  </si>
  <si>
    <t>type_erp | nature_risque</t>
  </si>
  <si>
    <t>NOT-0063</t>
  </si>
  <si>
    <t>système d'extinction automatique du type sprinkleur</t>
  </si>
  <si>
    <t>Installation fixe assurant l'extinction ou le contrôle automatique d'un incendie.</t>
  </si>
  <si>
    <t>sprinkler | sprinklage | extinction automatique | arrosage automatique | ESFR</t>
  </si>
  <si>
    <t>MS 25 à MS 30</t>
  </si>
  <si>
    <t>règles APSAD R1 (contractuel)</t>
  </si>
  <si>
    <t>Souvent exigé par l'assureur avant de l'être par le règlement : qualifier le fondement avant de répondre.</t>
  </si>
  <si>
    <t>NOT-0064</t>
  </si>
  <si>
    <t>colonne sèche</t>
  </si>
  <si>
    <t>Canalisation fixe non alimentée en permanence, mise en charge par les secours.</t>
  </si>
  <si>
    <t>colonne sèche | prise pompiers dans la cage | colonne humide</t>
  </si>
  <si>
    <t>MS 18 à MS 21</t>
  </si>
  <si>
    <t>arr. 31/01/1986 art. 98</t>
  </si>
  <si>
    <t>hauteur_plancher_bas | famille_habitation | categorie_erp</t>
  </si>
  <si>
    <t>NOT-0065</t>
  </si>
  <si>
    <t>éclairage de sécurité</t>
  </si>
  <si>
    <t>Éclairage assurant l'évacuation (balisage) et, le cas échéant, l'ambiance ou l'anti-panique.</t>
  </si>
  <si>
    <t>BAES | éclairage de secours | les blocs verts | bloc de secours</t>
  </si>
  <si>
    <t>EC 7 à EC 15</t>
  </si>
  <si>
    <t>R. 4227-13 | R. 4227-14</t>
  </si>
  <si>
    <t>arr. 31/01/1986 art. 36</t>
  </si>
  <si>
    <t>corpus | effectif_public | effectif_travailleurs</t>
  </si>
  <si>
    <t>NOT-0066</t>
  </si>
  <si>
    <t>consigne de sécurité incendie</t>
  </si>
  <si>
    <t>Document affiché précisant le matériel d'extinction, les personnes désignées, les modalités d'alerte et la conduite de l'évacuation.</t>
  </si>
  <si>
    <t>consignes | la fiche affichée | plan d'évacuation | affichage</t>
  </si>
  <si>
    <t>plan d'évacuation [CT] : le code du travail impose une consigne, dont le plan n'est qu'un support | plan d'intervention [ERP] : destiné aux secours, distinct du plan d'évacuation destiné aux occupants</t>
  </si>
  <si>
    <t>MS 41</t>
  </si>
  <si>
    <t>arrêté du 04/11/1993 (signalisation)</t>
  </si>
  <si>
    <t>dirigeant | architecte | gestionnaire</t>
  </si>
  <si>
    <t>NOT-0067</t>
  </si>
  <si>
    <t>T7 — Vocabulaire propre au code du travail</t>
  </si>
  <si>
    <t>document unique d'évaluation des risques professionnels</t>
  </si>
  <si>
    <t>Document transcrivant les résultats de l'évaluation des risques, dont le risque incendie et explosion.</t>
  </si>
  <si>
    <t>DU | DUER | document unique | l'évaluation des risques</t>
  </si>
  <si>
    <t>L. 4121-3 | L. 4121-3-1</t>
  </si>
  <si>
    <t>NOT-0068</t>
  </si>
  <si>
    <t>atmosphère explosive</t>
  </si>
  <si>
    <t>Mélange susceptible de former une atmosphère explosive, imposant un classement en zones.</t>
  </si>
  <si>
    <t>ATEX | zone ATEX | risque d'explosion | poussières | vapeurs</t>
  </si>
  <si>
    <t>R. 4227-42 et s. | R. 4216-31</t>
  </si>
  <si>
    <t>NOT-0069</t>
  </si>
  <si>
    <t>document relatif à la protection contre les explosions</t>
  </si>
  <si>
    <t>Document formalisant l'évaluation du risque d'explosion et les mesures retenues.</t>
  </si>
  <si>
    <t>DRPCE | le document ATEX | dossier ATEX</t>
  </si>
  <si>
    <t>R. 4227-42 et s.</t>
  </si>
  <si>
    <t>NOT-0070</t>
  </si>
  <si>
    <t>travaux par point chaud</t>
  </si>
  <si>
    <t>Travaux générant des sources d'inflammation, relevant des travaux dangereux soumis à plan de prévention.</t>
  </si>
  <si>
    <t>permis de feu | soudure | meulage | découpe</t>
  </si>
  <si>
    <t>R. 4512-6 | R. 4512-7</t>
  </si>
  <si>
    <t>arrêté du 19/03/1993</t>
  </si>
  <si>
    <t>Le permis de feu lui-même n'est pas un terme réglementaire : la règle est le plan de prévention écrit.</t>
  </si>
  <si>
    <t>NOT-0071</t>
  </si>
  <si>
    <t>travailleurs chargés de la mise en œuvre des moyens de premiers secours</t>
  </si>
  <si>
    <t>Personnes désignées par l'employeur pour mettre en œuvre les moyens d'extinction et diriger l'évacuation.</t>
  </si>
  <si>
    <t>EPI | équipier de première intervention | ESI | équipier de seconde intervention | guide-file | serre-file | les référents incendie</t>
  </si>
  <si>
    <t>R. 4227-38</t>
  </si>
  <si>
    <t>EPI, ESI, guide-file et serre-file relèvent du vocabulaire assureur et INRS, non du code. Chercher la formule longue.</t>
  </si>
  <si>
    <t>NOT-0072</t>
  </si>
  <si>
    <t>essais et exercices périodiques</t>
  </si>
  <si>
    <t>Exercices d'évacuation et essais des matériels, organisés au moins tous les six mois.</t>
  </si>
  <si>
    <t>exercice d'évacuation | exercice incendie | on fait sonner l'alarme</t>
  </si>
  <si>
    <t>R. 4227-39</t>
  </si>
  <si>
    <t>NOT-0073</t>
  </si>
  <si>
    <t>formation à la sécurité</t>
  </si>
  <si>
    <t>Formation pratique et appropriée relative aux conditions de circulation et au comportement en cas d'incendie.</t>
  </si>
  <si>
    <t>formation incendie | formation extincteur | sensibilisation</t>
  </si>
  <si>
    <t>L. 4141-2 | R. 4141-3 | R. 4141-3-1 | L. 4154-2</t>
  </si>
  <si>
    <t>NOT-0074</t>
  </si>
  <si>
    <t>local de charge d'accumulateurs</t>
  </si>
  <si>
    <t>Local affecté à la charge de batteries, soumis à des exigences de ventilation liées au dégagement d'hydrogène.</t>
  </si>
  <si>
    <t>local de charge | charge des chariots | batteries | lithium</t>
  </si>
  <si>
    <t>R. 4227-22 et s.</t>
  </si>
  <si>
    <t>NOT-0075</t>
  </si>
  <si>
    <t>matières inflammables</t>
  </si>
  <si>
    <t>Substances dont l'emploi et le stockage en local de travail sont limités en quantité.</t>
  </si>
  <si>
    <t>produits inflammables | solvants | bidons | stockage de produits</t>
  </si>
  <si>
    <t>R. 4227-20 à R. 4227-27</t>
  </si>
  <si>
    <t>NOT-0076</t>
  </si>
  <si>
    <t>référentiel assureur</t>
  </si>
  <si>
    <t>Prescriptions techniques d'origine contractuelle, dépourvues de portée réglementaire.</t>
  </si>
  <si>
    <t>APSAD | règle R1 | règle R4 | R7 | exigence de l'assurance | CNPP</t>
  </si>
  <si>
    <t>référentiels CNPP | conditions particulières du contrat</t>
  </si>
  <si>
    <t>contractuel</t>
  </si>
  <si>
    <t>Distinction structurante : le système doit toujours qualifier le fondement d'une exigence avant d'y répondre.</t>
  </si>
  <si>
    <t>NOT-0077</t>
  </si>
  <si>
    <t>mise en demeure</t>
  </si>
  <si>
    <t>Acte par lequel l'agent de contrôle enjoint à l'employeur de se conformer, préalablement au procès-verbal.</t>
  </si>
  <si>
    <t>l'inspection du travail m'a mis un papier | j'ai reçu un courrier | observation</t>
  </si>
  <si>
    <t>L. 4721-1 | L. 4731-1 | L. 4732-1 | L. 4741-1</t>
  </si>
  <si>
    <t>NOT-0078</t>
  </si>
  <si>
    <t>registres et documents de santé et sécurité</t>
  </si>
  <si>
    <t>Ensemble des registres et documents tenus à disposition de l'agent de contrôle.</t>
  </si>
  <si>
    <t>registre de sécurité | le classeur | les rapports</t>
  </si>
  <si>
    <t>registre de sécurité [ERP] : le registre de sécurité ERP a un contenu et un fondement distincts</t>
  </si>
  <si>
    <t>L. 4711-1 et s.</t>
  </si>
  <si>
    <t>NOT-0079</t>
  </si>
  <si>
    <t>consultation du comité social et économique</t>
  </si>
  <si>
    <t>Obligation de consulter le CSE sur les projets touchant aux conditions de santé et de sécurité.</t>
  </si>
  <si>
    <t>CSE | les représentants du personnel | CHSCT</t>
  </si>
  <si>
    <t>CHSCT -&gt; CSE (2020-01-01)</t>
  </si>
  <si>
    <t>L. 2312-8 | L. 2312-9 | L. 2312-27</t>
  </si>
  <si>
    <t>NOT-0080</t>
  </si>
  <si>
    <t>T8 — Vocabulaire propre à l'habitation et au rapport locatif</t>
  </si>
  <si>
    <t>logement décent</t>
  </si>
  <si>
    <t>Logement ne présentant pas de risque manifeste pour la sécurité physique et la santé des occupants.</t>
  </si>
  <si>
    <t>décence | logement indécent | insalubre | logement dangereux</t>
  </si>
  <si>
    <t>insalubrité [CSP] : police distincte de la décence, relevant de la santé publique | péril [CCH] : remplacé depuis 2021 par la police de la sécurité des immeubles (L. 511-1 et s.)</t>
  </si>
  <si>
    <t>loi n° 89-462 art. 6 | décret n° 2002-120 | CCH L. 511-1 et s.</t>
  </si>
  <si>
    <t>Trois polices à ne jamais confondre : décence (civil), insalubrité (santé), sécurité des immeubles (CCH).</t>
  </si>
  <si>
    <t>NOT-0081</t>
  </si>
  <si>
    <t>charges locatives récupérables</t>
  </si>
  <si>
    <t>Dépenses limitativement énumérées pouvant être refacturées au locataire.</t>
  </si>
  <si>
    <t>charges récupérables | je peux refacturer | charges locatives</t>
  </si>
  <si>
    <t>décret n° 87-713 du 26/08/1987</t>
  </si>
  <si>
    <t>NOT-0082</t>
  </si>
  <si>
    <t>obligation de souffrir les travaux</t>
  </si>
  <si>
    <t>Obligation du locataire de permettre l'accès pour la réalisation des travaux nécessaires.</t>
  </si>
  <si>
    <t>le locataire refuse l'accès | il ne me laisse pas rentrer | droit de visite</t>
  </si>
  <si>
    <t>loi n° 89-462 art. 7 e)</t>
  </si>
  <si>
    <t>NOT-0083</t>
  </si>
  <si>
    <t>hébergement et relogement</t>
  </si>
  <si>
    <t>Obligations pesant sur le propriétaire lorsque les locaux deviennent impropres à l'habitation.</t>
  </si>
  <si>
    <t>relogement après incendie | où je mets mes locataires | suspension du loyer</t>
  </si>
  <si>
    <t>CCH L. 521-1 et s.</t>
  </si>
  <si>
    <t>NOT-0084</t>
  </si>
  <si>
    <t>local d'entreposage des ordures ménagères</t>
  </si>
  <si>
    <t>Local recevant les conteneurs, soumis à des exigences d'isolement et de ventilation.</t>
  </si>
  <si>
    <t>local poubelles | local OM | vide-ordures | local déchets</t>
  </si>
  <si>
    <t>arr. 31/01/1986 art. 78 et s.</t>
  </si>
  <si>
    <t>NOT-0085</t>
  </si>
  <si>
    <t>parc de stationnement couvert</t>
  </si>
  <si>
    <t>Parc lié à un bâtiment, soumis à des règles propres d'isolement, de ventilation et de désenfumage.</t>
  </si>
  <si>
    <t>parking souterrain | le sous-sol | garage collectif | box</t>
  </si>
  <si>
    <t>dispositions particulières type PS</t>
  </si>
  <si>
    <t>arr. 31/01/1986 art. 77 et s.</t>
  </si>
  <si>
    <t>nomenclature ICPE rubrique 2935 (selon seuils)</t>
  </si>
  <si>
    <t>surface_local | niveau_local</t>
  </si>
  <si>
    <t>NOT-0086</t>
  </si>
  <si>
    <t>infrastructure de recharge pour véhicules électriques</t>
  </si>
  <si>
    <t>Équipement de recharge, soumis à des obligations de pré-équipement et à des prescriptions d'implantation.</t>
  </si>
  <si>
    <t>borne de recharge | IRVE | recharger les voitures électriques | wallbox</t>
  </si>
  <si>
    <t>CCH L. 113-11 et s. | CCH R. 113-x | arrêtés d'application</t>
  </si>
  <si>
    <t>niveau_local</t>
  </si>
  <si>
    <t>Sujet en évolution rapide : vérifier systématiquement la version en vigueur et les positions départementales.</t>
  </si>
  <si>
    <t>NOT-0087</t>
  </si>
  <si>
    <t>pouvoirs de police du maire</t>
  </si>
  <si>
    <t>Fondement du contrôle de la sécurité des bâtiments d'habitation, à défaut de commission de sécurité.</t>
  </si>
  <si>
    <t>qui contrôle mon immeuble | la mairie peut-elle intervenir | arrêté municipal</t>
  </si>
  <si>
    <t>CGCT L. 2212-2 | CCH L. 511-1 et s.</t>
  </si>
  <si>
    <t>NOT-0088</t>
  </si>
  <si>
    <t>Texte préfectoral régissant notamment l'entreposage, la salubrité et l'usage des locaux d'habitation.</t>
  </si>
  <si>
    <t>RSD | le règlement du département | salubrité</t>
  </si>
  <si>
    <t>RSD type | arrêté préfectoral départemental</t>
  </si>
  <si>
    <t>Souvent la seule base opposable pour traiter les stockages et encombrements en habitation.</t>
  </si>
  <si>
    <t>NOT-0089</t>
  </si>
  <si>
    <t>T9 — Procédure, contrôle, traçabilité</t>
  </si>
  <si>
    <t>notice descriptive de sécurité</t>
  </si>
  <si>
    <t>Pièce du dossier d'autorisation exposant les dispositions de sécurité retenues.</t>
  </si>
  <si>
    <t>notice de sécurité | le dossier sécurité | la notice</t>
  </si>
  <si>
    <t>GE 1 et s.</t>
  </si>
  <si>
    <t>CCH R. 143-24 et s. (ex-R. 123-22)</t>
  </si>
  <si>
    <t>conception</t>
  </si>
  <si>
    <t>NOT-0090</t>
  </si>
  <si>
    <t>autorisation de travaux</t>
  </si>
  <si>
    <t>Autorisation préalable requise pour la construction, l'aménagement ou la modification d'un ERP.</t>
  </si>
  <si>
    <t>AT | permis pour l'ERP | demande d'autorisation</t>
  </si>
  <si>
    <t>NOT-0091</t>
  </si>
  <si>
    <t>commission de sécurité</t>
  </si>
  <si>
    <t>Organe consultatif examinant les dossiers et visitant les établissements recevant du public.</t>
  </si>
  <si>
    <t>la commission | le passage des pompiers | visite de sécurité</t>
  </si>
  <si>
    <t>GE 2 et s.</t>
  </si>
  <si>
    <t>CCH R. 143-1 et s.</t>
  </si>
  <si>
    <t>N'existe ni en code du travail, ni pour l'habitation ordinaire. Réponse d'absence à produire explicitement.</t>
  </si>
  <si>
    <t>NOT-0092</t>
  </si>
  <si>
    <t>autorisation d'ouverture au public</t>
  </si>
  <si>
    <t>Décision de l'autorité de police autorisant l'ouverture après avis de la commission.</t>
  </si>
  <si>
    <t>l'autorisation d'ouvrir | avis favorable | réception</t>
  </si>
  <si>
    <t>CCH R. 143-38 et s. (ex-R. 123-45)</t>
  </si>
  <si>
    <t>NOT-0093</t>
  </si>
  <si>
    <t>registre de sécurité</t>
  </si>
  <si>
    <t>Document consignant les vérifications, travaux et exercices, tenu par l'exploitant.</t>
  </si>
  <si>
    <t>le registre | le classeur sécurité | le cahier</t>
  </si>
  <si>
    <t>L. 4711-1 et s. (registres et documents, périmètre distinct)</t>
  </si>
  <si>
    <t>CCH R. 143-34 (ex-R. 123-51)</t>
  </si>
  <si>
    <t>Aucune obligation générale équivalente en habitation ordinaire : y construire une traçabilité de fait.</t>
  </si>
  <si>
    <t>NOT-0094</t>
  </si>
  <si>
    <t>vérifications techniques</t>
  </si>
  <si>
    <t>Contrôles périodiques des installations par des personnes ou organismes qualifiés ou agréés.</t>
  </si>
  <si>
    <t>contrôle annuel | visite de maintenance | vérif périodique | le bureau de contrôle</t>
  </si>
  <si>
    <t>GE 6 à GE 10</t>
  </si>
  <si>
    <t>R. 4224-17 | R. 4226-14 et s.</t>
  </si>
  <si>
    <t>dispersé : gaz, ascenseurs, électricité des parties communes</t>
  </si>
  <si>
    <t>NOT-0095</t>
  </si>
  <si>
    <t>rapport de vérification réglementaire</t>
  </si>
  <si>
    <t>Document établi à l'issue d'une vérification, consignant les observations.</t>
  </si>
  <si>
    <t>RVRAT | RVRE | rapport du bureau de contrôle | le rapport de vérif</t>
  </si>
  <si>
    <t>R. 4224-17</t>
  </si>
  <si>
    <t>RVRAT est un sigle de bureau de contrôle, non un terme réglementaire : convertir avant recherche.</t>
  </si>
  <si>
    <t>NOT-0096</t>
  </si>
  <si>
    <t>coordonnateur du système de sécurité incendie</t>
  </si>
  <si>
    <t>Intervenant assurant la cohérence du SSI de la conception à la réception.</t>
  </si>
  <si>
    <t>coordonnateur SSI | le coordo | mission SSI</t>
  </si>
  <si>
    <t>MS 53 et s.</t>
  </si>
  <si>
    <t>normatif</t>
  </si>
  <si>
    <t>Obligation d'origine normative relayée par le règlement : qualifier le fondement.</t>
  </si>
  <si>
    <t>notion</t>
  </si>
  <si>
    <t>corpus_interrogé</t>
  </si>
  <si>
    <t>assertion</t>
  </si>
  <si>
    <t>orientation</t>
  </si>
  <si>
    <t>références</t>
  </si>
  <si>
    <t>NEG-01</t>
  </si>
  <si>
    <t>HAB</t>
  </si>
  <si>
    <t>La notion de commission de sécurité n'existe pas pour les bâtiments d'habitation ordinaires.</t>
  </si>
  <si>
    <t>Le contrôle relève des pouvoirs de police du maire (CGCT L. 2212-2) et de la police de la sécurité des immeubles collectifs à usage principal d'habitation (CCH L. 511-1 et s.).</t>
  </si>
  <si>
    <t>NEG-02</t>
  </si>
  <si>
    <t>CT</t>
  </si>
  <si>
    <t>Le code du travail n'organise pas de commission de sécurité ni de visite périodique d'ouverture.</t>
  </si>
  <si>
    <t>Le contrôle est exercé a posteriori par l'agent de contrôle de l'inspection du travail (L. 4721-1, L. 4731-1).</t>
  </si>
  <si>
    <t>L. 4721-1 | L. 4731-1</t>
  </si>
  <si>
    <t>NEG-03</t>
  </si>
  <si>
    <t>Aucune obligation générale de tenue d'un registre de sécurité n'est prévue en habitation ordinaire.</t>
  </si>
  <si>
    <t>Le régime du registre est propre aux ERP (CCH R. 143-34) et aux IGH. En habitation, la traçabilité relève de la prudence du propriétaire, non d'un texte.</t>
  </si>
  <si>
    <t>NEG-04</t>
  </si>
  <si>
    <t>La notion d'espace d'attente sécurisé n'existe pas dans le corpus habitation.</t>
  </si>
  <si>
    <t>Elle est propre aux ERP (CO 57 à CO 60) et aux lieux de travail (R. 4216-2-1). En habitation, la doctrine est le maintien dans le logement.</t>
  </si>
  <si>
    <t>CO 57 à CO 60 | R. 4216-2-1</t>
  </si>
  <si>
    <t>NEG-05</t>
  </si>
  <si>
    <t>extincteur</t>
  </si>
  <si>
    <t>Aucun texte n'impose d'extincteurs en parties communes d'un bâtiment d'habitation ordinaire.</t>
  </si>
  <si>
    <t>Leur présence procède d'une exigence d'assurance ou d'une décision de gestion ; une fois installés, ils doivent être entretenus.</t>
  </si>
  <si>
    <t>NEG-06</t>
  </si>
  <si>
    <t>Aucun équipement d'alarme générale n'est exigé dans les bâtiments d'habitation ordinaires.</t>
  </si>
  <si>
    <t>L'exigence n'apparaît que dans des régimes particuliers (logements-foyers, résidences services relevant du type J ou O au titre du règlement ERP).</t>
  </si>
  <si>
    <t>NEG-07</t>
  </si>
  <si>
    <t>exercice d'évacuation</t>
  </si>
  <si>
    <t>Aucun exercice d'évacuation périodique n'est imposé au propriétaire d'un bâtiment d'habitation.</t>
  </si>
  <si>
    <t>L'obligation semestrielle est propre au code du travail (R. 4227-39). En habitation, l'obligation se limite à l'information des occupants.</t>
  </si>
  <si>
    <t>NEG-08</t>
  </si>
  <si>
    <t>Le code du travail ne prévoit pas de mécanisme de dérogation comparable à celui des ERP.</t>
  </si>
  <si>
    <t>Il combine une obligation de résultat (L. 4121-1) et des prescriptions minimales : l'écart se justifie par une démonstration d'équivalence, non par une autorisation.</t>
  </si>
  <si>
    <t>L. 4121-1</t>
  </si>
  <si>
    <t>NEG-09</t>
  </si>
  <si>
    <t>type et catégorie</t>
  </si>
  <si>
    <t>Les bâtiments d'habitation ne sont ni typés ni catégorisés au sens du règlement ERP.</t>
  </si>
  <si>
    <t>Ils sont classés en familles (arr. 31/01/1986 art. 3).</t>
  </si>
  <si>
    <t>NEG-10</t>
  </si>
  <si>
    <t>ERP</t>
  </si>
  <si>
    <t>La notion de famille n'a pas cours pour les établissements recevant du public.</t>
  </si>
  <si>
    <t>Le classement ERP repose sur le type d'exploitation et la catégorie (GN 1, GN 2).</t>
  </si>
  <si>
    <t>NEG-11</t>
  </si>
  <si>
    <t>coupe-feu (CF)</t>
  </si>
  <si>
    <t>tous</t>
  </si>
  <si>
    <t>Les appellations CF, PF et SF ne figurent plus dans les textes postérieurs à l'arrêté du 22 mars 2004.</t>
  </si>
  <si>
    <t>Elles subsistent dans les PV anciens et le langage courant ; la recherche doit porter sur R, E, I, EI, REI.</t>
  </si>
  <si>
    <t>NEG-12</t>
  </si>
  <si>
    <t>point de rassemblement</t>
  </si>
  <si>
    <t>L'expression « point de rassemblement » n'est pas un terme réglementaire.</t>
  </si>
  <si>
    <t>Le code du travail impose l'évacuation vers un lieu sûr (R. 4227-1) ; la désignation du point relève de la consigne de sécurité incendie.</t>
  </si>
  <si>
    <t>R. 4227-1 | R. 4227-37</t>
  </si>
  <si>
    <t>NEG-13</t>
  </si>
  <si>
    <t>équipier de première intervention (EPI)</t>
  </si>
  <si>
    <t>Les qualifications EPI, ESI, guide-file et serre-file ne figurent pas dans le code du travail.</t>
  </si>
  <si>
    <t>Le texte vise les travailleurs désignés pour mettre en œuvre les moyens de premiers secours (R. 4227-38).</t>
  </si>
  <si>
    <t>NEG-14</t>
  </si>
  <si>
    <t>RVRAT</t>
  </si>
  <si>
    <t>RVRAT n'est pas une notion réglementaire mais un sigle de bureau de contrôle.</t>
  </si>
  <si>
    <t>Le texte vise les vérifications techniques et leurs rapports (GE 6 à GE 10 ; R. 4224-17).</t>
  </si>
  <si>
    <t>GE 6 à GE 10 | R. 4224-17</t>
  </si>
  <si>
    <t>NEG-15</t>
  </si>
  <si>
    <t>règle APSAD</t>
  </si>
  <si>
    <t>Les règles APSAD ne sont pas des textes réglementaires.</t>
  </si>
  <si>
    <t>Elles constituent des référentiels contractuels d'assurance : leur non-respect a des effets sur la garantie, non sur la conformité.</t>
  </si>
  <si>
    <t>NEG-16</t>
  </si>
  <si>
    <t>sprinkleur</t>
  </si>
  <si>
    <t>Aucun texte n'impose d'extinction automatique dans les bâtiments d'habitation ordinaires.</t>
  </si>
  <si>
    <t>L'exigence, lorsqu'elle existe, procède du régime ICPE d'un local annexe ou d'une clause d'assurance.</t>
  </si>
  <si>
    <t>NEG-17</t>
  </si>
  <si>
    <t>détecteur de fumée normalisé (DAAF)</t>
  </si>
  <si>
    <t>Le DAAF relève du régime des logements et non du règlement ERP.</t>
  </si>
  <si>
    <t>En ERP, la détection procède d'un SSI (MS 53 et s.).</t>
  </si>
  <si>
    <t>CCH L. 142-2 et s. | MS 53 et s.</t>
  </si>
  <si>
    <t>NEG-18</t>
  </si>
  <si>
    <t>notice de sécurité</t>
  </si>
  <si>
    <t>Le code du travail n'impose pas de notice descriptive de sécurité au dossier de permis.</t>
  </si>
  <si>
    <t>Les obligations pèsent sur le maître d'ouvrage au titre de la conception des lieux de travail (R. 4211-1 et s.).</t>
  </si>
  <si>
    <t>NEG-19</t>
  </si>
  <si>
    <t>Le dimensionnement des dégagements en unités de passage n'est pas la logique du corpus habitation.</t>
  </si>
  <si>
    <t>Les exigences y sont fixées en valeurs absolues selon la famille (arr. 31/01/1986).</t>
  </si>
  <si>
    <t>NEG-20</t>
  </si>
  <si>
    <t>L'effectif théorique du public n'a pas d'équivalent en code du travail.</t>
  </si>
  <si>
    <t>Le décompte y suit les règles des articles L. 1111-2 et L. 1111-3, de périmètre différent.</t>
  </si>
  <si>
    <t>L. 1111-2 | L. 1111-3</t>
  </si>
  <si>
    <t>nom</t>
  </si>
  <si>
    <t>libellé</t>
  </si>
  <si>
    <t>type</t>
  </si>
  <si>
    <t>valeurs</t>
  </si>
  <si>
    <t>note</t>
  </si>
  <si>
    <t>VAR-01</t>
  </si>
  <si>
    <t>Corpus réglementaire applicable</t>
  </si>
  <si>
    <t>enum</t>
  </si>
  <si>
    <t>ERP | CT | HAB | IGH | ICPE | DECI</t>
  </si>
  <si>
    <t>Un même bâtiment peut relever de plusieurs corpus simultanément.</t>
  </si>
  <si>
    <t>VAR-02</t>
  </si>
  <si>
    <t>Type d'exploitation ERP</t>
  </si>
  <si>
    <t>J | L | M | N | O | P | R | S | T | U | V | W | X | Y | PA | CTS | SG | PS | OA | REF | GA | EF</t>
  </si>
  <si>
    <t>VAR-03</t>
  </si>
  <si>
    <t>categorie_erp</t>
  </si>
  <si>
    <t>Catégorie ERP</t>
  </si>
  <si>
    <t>1 | 2 | 3 | 4 | 5</t>
  </si>
  <si>
    <t>Déterminée par l'effectif ; conditionne l'essentiel des exigences.</t>
  </si>
  <si>
    <t>VAR-04</t>
  </si>
  <si>
    <t>Effectif théorique du public</t>
  </si>
  <si>
    <t>entier</t>
  </si>
  <si>
    <t>Mode de calcul propre à chaque type (dispositions particulières).</t>
  </si>
  <si>
    <t>VAR-05</t>
  </si>
  <si>
    <t>Effectif décompté au sens du code du travail</t>
  </si>
  <si>
    <t>Décompte L. 1111-2 ; seuil pivot : plus de 50 personnes.</t>
  </si>
  <si>
    <t>VAR-06</t>
  </si>
  <si>
    <t>Famille du bâtiment d'habitation</t>
  </si>
  <si>
    <t>1re | 2e | 3e A | 3e B | 4e</t>
  </si>
  <si>
    <t>VAR-07</t>
  </si>
  <si>
    <t>Hauteur du plancher bas du dernier niveau</t>
  </si>
  <si>
    <t>metres</t>
  </si>
  <si>
    <t>Bascule IGH : 50 m en habitation, 28 m pour les autres.</t>
  </si>
  <si>
    <t>VAR-08</t>
  </si>
  <si>
    <t>nb_niveaux</t>
  </si>
  <si>
    <t>Nombre de niveaux / étages sur rez-de-chaussée</t>
  </si>
  <si>
    <t>VAR-09</t>
  </si>
  <si>
    <t>Date de référence (permis, travaux, ou jour)</t>
  </si>
  <si>
    <t>date</t>
  </si>
  <si>
    <t>Détermine la version du texte applicable. Obligatoire sur toute requête.</t>
  </si>
  <si>
    <t>VAR-10</t>
  </si>
  <si>
    <t>existant_ou_neuf</t>
  </si>
  <si>
    <t>Statut du bâtiment</t>
  </si>
  <si>
    <t>neuf | existant | existant_avec_travaux</t>
  </si>
  <si>
    <t>VAR-11</t>
  </si>
  <si>
    <t>Position du local</t>
  </si>
  <si>
    <t>sous-sol | rez-de-chaussee | etage | dernier_niveau</t>
  </si>
  <si>
    <t>VAR-12</t>
  </si>
  <si>
    <t>Surface du local</t>
  </si>
  <si>
    <t>m2</t>
  </si>
  <si>
    <t>VAR-13</t>
  </si>
  <si>
    <t>Nature du risque du local</t>
  </si>
  <si>
    <t>courant | risques_moyens | risques_importants | ATEX</t>
  </si>
  <si>
    <t>VAR-14</t>
  </si>
  <si>
    <t>Stade du projet</t>
  </si>
  <si>
    <t>Le même sujet est traité dans deux séries d'articles distinctes.</t>
  </si>
  <si>
    <t>VAR-15</t>
  </si>
  <si>
    <t>Qualité du demandeur</t>
  </si>
  <si>
    <t>maitre_ouvrage | maitre_oeuvre | exploitant | employeur | proprietaire | locataire | gestionnaire</t>
  </si>
  <si>
    <t>VAR-16</t>
  </si>
  <si>
    <t>presence_public</t>
  </si>
  <si>
    <t>Présence de public</t>
  </si>
  <si>
    <t>booleen</t>
  </si>
  <si>
    <t>VAR-17</t>
  </si>
  <si>
    <t>presence_travailleurs</t>
  </si>
  <si>
    <t>Présence de travailleurs</t>
  </si>
  <si>
    <t>profil</t>
  </si>
  <si>
    <t>question_utilisateur</t>
  </si>
  <si>
    <t>reformulation_normative</t>
  </si>
  <si>
    <t>corpus_attendu</t>
  </si>
  <si>
    <t>articles_attendus</t>
  </si>
  <si>
    <t>notions_attendues</t>
  </si>
  <si>
    <t>notions_ids</t>
  </si>
  <si>
    <t>variables_requises</t>
  </si>
  <si>
    <t>comportement_attendu</t>
  </si>
  <si>
    <t>difficulte</t>
  </si>
  <si>
    <t>commentaire_evaluateur</t>
  </si>
  <si>
    <t>REPONSE_SYSTEME</t>
  </si>
  <si>
    <t>REF-A-01</t>
  </si>
  <si>
    <t>Mon bâtiment abrite un restaurant, une salle de spectacle et des bureaux : c'est quoi comme ERP ?</t>
  </si>
  <si>
    <t>Selon quels critères l'établissement est-il classé par type et par catégorie, et comment sont traités les établissements comportant plusieurs types ?</t>
  </si>
  <si>
    <t>GN 1|GN 2|GN 3</t>
  </si>
  <si>
    <t>type d'exploitation|catégorie|groupement d'établissements</t>
  </si>
  <si>
    <t>NOT-0001|NOT-0002|NOT-0006</t>
  </si>
  <si>
    <t>type_erp|effectif_public</t>
  </si>
  <si>
    <t>demander_precision</t>
  </si>
  <si>
    <t>2</t>
  </si>
  <si>
    <t>L'effectif de chaque activité doit être connu avant toute réponse.</t>
  </si>
  <si>
    <t>REF-A-02</t>
  </si>
  <si>
    <t>Qu'est-ce qui change entre une 5e catégorie et une 1re ?</t>
  </si>
  <si>
    <t>Quelles dispositions distinguent les établissements de la 5e catégorie de ceux des quatre premières catégories ?</t>
  </si>
  <si>
    <t>GN 1|GN 2|CCH R. 143-19</t>
  </si>
  <si>
    <t>catégorie|effectif théorique du public</t>
  </si>
  <si>
    <t>NOT-0002|NOT-0003</t>
  </si>
  <si>
    <t>repondre</t>
  </si>
  <si>
    <t>1</t>
  </si>
  <si>
    <t>Question de cadrage, réponse structurelle.</t>
  </si>
  <si>
    <t>REF-A-03</t>
  </si>
  <si>
    <t>Quels textes s'appliquent exactement à mon projet ?</t>
  </si>
  <si>
    <t>Quelles dispositions générales, particulières au type et, le cas échéant, du code du travail sont applicables ?</t>
  </si>
  <si>
    <t>ERP|CT</t>
  </si>
  <si>
    <t>GN 1|GN 2|R. 4211-1 et s.</t>
  </si>
  <si>
    <t>type d'exploitation|catégorie</t>
  </si>
  <si>
    <t>NOT-0001|NOT-0002</t>
  </si>
  <si>
    <t>type_erp|presence_travailleurs</t>
  </si>
  <si>
    <t>orienter_corpus</t>
  </si>
  <si>
    <t>Test du réflexe de superposition ERP / code du travail.</t>
  </si>
  <si>
    <t>REF-A-04</t>
  </si>
  <si>
    <t>En réhabilitation, jusqu'où puis-je garder l'existant non conforme ?</t>
  </si>
  <si>
    <t>Dans quelles conditions les dispositions sont-elles applicables aux établissements existants et quels travaux déclenchent leur application ?</t>
  </si>
  <si>
    <t>GN 6|GN 7|GN 10</t>
  </si>
  <si>
    <t>existant_ou_neuf|date_effet</t>
  </si>
  <si>
    <t>3</t>
  </si>
  <si>
    <t>Sans date de permis, aucune réponse fiable.</t>
  </si>
  <si>
    <t>REF-A-05</t>
  </si>
  <si>
    <t>Si je dépasse 28 m je passe en IGH ?</t>
  </si>
  <si>
    <t>À partir de quelle hauteur du plancher bas du dernier niveau l'établissement relève-t-il du régime des immeubles de grande hauteur ?</t>
  </si>
  <si>
    <t>IGH|ERP</t>
  </si>
  <si>
    <t>CCH L. 146-1 et s.|arrêté du 30/12/2011</t>
  </si>
  <si>
    <t>Attention au seuil différent en habitation (50 m).</t>
  </si>
  <si>
    <t>REF-A-06</t>
  </si>
  <si>
    <t>Atténuation, aggravation, dérogation : quelle différence ?</t>
  </si>
  <si>
    <t>Dans quelles conditions des atténuations sont-elles accordées, des mesures aggravantes imposées ou une dérogation sollicitée ?</t>
  </si>
  <si>
    <t>GN 4|GN 5|CCH R. 143-11</t>
  </si>
  <si>
    <t>dérogation|mesure compensatoire</t>
  </si>
  <si>
    <t>NOT-0010|NOT-0011</t>
  </si>
  <si>
    <t>type_erp|categorie_erp</t>
  </si>
  <si>
    <t>Terminer par l'orientation vers l'avis de commission.</t>
  </si>
  <si>
    <t>REF-A-07</t>
  </si>
  <si>
    <t>Comment se calcule l'effectif de mon ERP ?</t>
  </si>
  <si>
    <t>Selon quel mode de détermination l'effectif théorique du public est-il calculé ?</t>
  </si>
  <si>
    <t>GN 1|GN 2|dispositions particulières au type</t>
  </si>
  <si>
    <t>Le mode de calcul dépend du type.</t>
  </si>
  <si>
    <t>REF-A-08</t>
  </si>
  <si>
    <t>Le personnel compte-t-il dans l'effectif ?</t>
  </si>
  <si>
    <t>Dans quels types l'effectif du personnel s'ajoute-t-il à celui du public ?</t>
  </si>
  <si>
    <t>GN 1|dispositions particulières au type</t>
  </si>
  <si>
    <t>effectif théorique du public|effectif (décompte code du travail)</t>
  </si>
  <si>
    <t>NOT-0003|NOT-0004</t>
  </si>
  <si>
    <t>Piège classique : la règle varie selon le type.</t>
  </si>
  <si>
    <t>REF-A-09</t>
  </si>
  <si>
    <t>Les réserves et bureaux comptent-ils dans l'effectif ?</t>
  </si>
  <si>
    <t>Les locaux non accessibles au public sont-ils pris en compte dans la détermination de l'effectif théorique ?</t>
  </si>
  <si>
    <t>GN 1|R. 4211-1 et s.</t>
  </si>
  <si>
    <t>Ces locaux relèvent du code du travail.</t>
  </si>
  <si>
    <t>REF-A-10</t>
  </si>
  <si>
    <t>Puis-je plafonner l'effectif par un engagement de l'exploitant ?</t>
  </si>
  <si>
    <t>Selon quelles modalités un effectif déclaré est-il rendu opposable à l'exploitant et contrôlé ?</t>
  </si>
  <si>
    <t>GN 1|GE 2 et s.</t>
  </si>
  <si>
    <t>effectif théorique du public|registre de sécurité</t>
  </si>
  <si>
    <t>NOT-0003|NOT-0093</t>
  </si>
  <si>
    <t>Réponse partiellement doctrinale : avis de commission.</t>
  </si>
  <si>
    <t>REF-A-11</t>
  </si>
  <si>
    <t>Il me faut quelle largeur de voie pompier ?</t>
  </si>
  <si>
    <t>Quelles caractéristiques sont exigées pour les voies utilisables par les engins de secours et les voies échelles ?</t>
  </si>
  <si>
    <t>CO 2|CO 3|CO 4|CO 5</t>
  </si>
  <si>
    <t>voie engin|voie échelle|espace libre</t>
  </si>
  <si>
    <t>NOT-0013|NOT-0014|NOT-0015</t>
  </si>
  <si>
    <t>categorie_erp|hauteur_plancher_bas</t>
  </si>
  <si>
    <t>Item de contrôle du rappel lexical de base.</t>
  </si>
  <si>
    <t>REF-A-12</t>
  </si>
  <si>
    <t>Combien de façades accessibles il me faut ?</t>
  </si>
  <si>
    <t>Quel nombre de façades accessibles l'établissement doit-il présenter et selon quelle définition sont-elles décomptées ?</t>
  </si>
  <si>
    <t>CO 2|CO 3</t>
  </si>
  <si>
    <t>REF-A-13</t>
  </si>
  <si>
    <t>Mon bâtiment est mitoyen d'un logement : quel isolement ?</t>
  </si>
  <si>
    <t>Quels degrés d'isolement sont exigés vis-à-vis des tiers contigus ou superposés ?</t>
  </si>
  <si>
    <t>ERP|HAB</t>
  </si>
  <si>
    <t>CO 6|CO 7|CO 8|CO 9|CO 10|arr. 31/01/1986 art. 5</t>
  </si>
  <si>
    <t>type_erp|famille_habitation</t>
  </si>
  <si>
    <t>Double corpus obligatoire.</t>
  </si>
  <si>
    <t>REF-A-14</t>
  </si>
  <si>
    <t>Commerce en RDC et logements au-dessus : comment on traite ?</t>
  </si>
  <si>
    <t>Selon quelles modalités l'isolement est-il assuré dans un bâtiment abritant un ERP et des locaux d'habitation ?</t>
  </si>
  <si>
    <t>CO 6 à CO 10|arr. 31/01/1986 art. 5</t>
  </si>
  <si>
    <t>tiers contigu ou superposé|famille</t>
  </si>
  <si>
    <t>NOT-0007|NOT-0005</t>
  </si>
  <si>
    <t>REF-A-15</t>
  </si>
  <si>
    <t>C'est quoi la règle du C+D ?</t>
  </si>
  <si>
    <t>Dans quels cas la règle du C + D s'applique-t-elle au traitement des façades ?</t>
  </si>
  <si>
    <t>CO 19|CO 20|CO 21|CO 22|instruction technique n° 249</t>
  </si>
  <si>
    <t>Qualifier le niveau : interprétatif (IT).</t>
  </si>
  <si>
    <t>REF-A-16</t>
  </si>
  <si>
    <t>Je peux mettre un parking en sous-sol communiquant avec l'ERP ?</t>
  </si>
  <si>
    <t>À quelles conditions un parc de stationnement couvert peut-il communiquer avec l'établissement ?</t>
  </si>
  <si>
    <t>CO 6 à CO 10|dispositions particulières type PS</t>
  </si>
  <si>
    <t>parc de stationnement couvert|tiers contigu ou superposé</t>
  </si>
  <si>
    <t>NOT-0085|NOT-0007</t>
  </si>
  <si>
    <t>surface_local|niveau_local</t>
  </si>
  <si>
    <t>REF-A-17</t>
  </si>
  <si>
    <t>Quelle stabilité au feu pour ma structure ?</t>
  </si>
  <si>
    <t>Quel degré de stabilité au feu est exigé des éléments porteurs ?</t>
  </si>
  <si>
    <t>CO 11|CO 12</t>
  </si>
  <si>
    <t>stabilité au feu des structures|résistance au feu</t>
  </si>
  <si>
    <t>NOT-0021|NOT-0020</t>
  </si>
  <si>
    <t>categorie_erp|hauteur_plancher_bas|nb_niveaux</t>
  </si>
  <si>
    <t>Test du refus de répondre sans classement.</t>
  </si>
  <si>
    <t>REF-A-18</t>
  </si>
  <si>
    <t>R, E, I, REI : ça veut dire quoi et comment lire un PV ?</t>
  </si>
  <si>
    <t>Quelles sont les correspondances entre les critères R, E, I et les anciennes appellations, et quelles conditions un PV doit-il remplir ?</t>
  </si>
  <si>
    <t>ERP|CT|HAB</t>
  </si>
  <si>
    <t>résistance au feu|procès-verbal de classement</t>
  </si>
  <si>
    <t>NOT-0020|NOT-0022</t>
  </si>
  <si>
    <t>Item de correspondance lexicale pure.</t>
  </si>
  <si>
    <t>REF-A-19</t>
  </si>
  <si>
    <t>Je peux laisser ma charpente bois apparente ?</t>
  </si>
  <si>
    <t>Dans quels cas des éléments de structure en bois ou en acier peuvent-ils être laissés apparents ?</t>
  </si>
  <si>
    <t>stabilité au feu des structures|réaction au feu</t>
  </si>
  <si>
    <t>NOT-0021|NOT-0023</t>
  </si>
  <si>
    <t>categorie_erp|nb_niveaux</t>
  </si>
  <si>
    <t>REF-A-20</t>
  </si>
  <si>
    <t>Comment traiter les percements dans les murs coupe-feu ?</t>
  </si>
  <si>
    <t>Quelles dispositions sont exigées pour le franchissement des parois délimitant un volume protégé ?</t>
  </si>
  <si>
    <t>CO 30|CO 31|CO 32|CO 33</t>
  </si>
  <si>
    <t>calfeutrement de traversée|clapet coupe-feu|gaine technique</t>
  </si>
  <si>
    <t>NOT-0025|NOT-0026|NOT-0027</t>
  </si>
  <si>
    <t>REF-A-21</t>
  </si>
  <si>
    <t>Quels locaux sont des locaux à risques ?</t>
  </si>
  <si>
    <t>Quels locaux sont classés à risques moyens ou importants et quelles exigences en découlent ?</t>
  </si>
  <si>
    <t>CO 27|CO 28</t>
  </si>
  <si>
    <t>nature_risque|surface_local</t>
  </si>
  <si>
    <t>REF-A-22</t>
  </si>
  <si>
    <t>Comment choisir un revêtement de sol ou mural ?</t>
  </si>
  <si>
    <t>Quelles exigences de réaction au feu s'appliquent aux revêtements de sol, muraux et de plafond ?</t>
  </si>
  <si>
    <t>AM 1 à AM 8|arrêté du 21/11/2002</t>
  </si>
  <si>
    <t>réaction au feu|procès-verbal de classement</t>
  </si>
  <si>
    <t>NOT-0023|NOT-0022</t>
  </si>
  <si>
    <t>type_erp|niveau_local</t>
  </si>
  <si>
    <t>REF-A-23</t>
  </si>
  <si>
    <t>Et pour les faux plafonds, tentures et rideaux ?</t>
  </si>
  <si>
    <t>Quelles exigences s'appliquent aux plafonds suspendus, tentures et éléments de décoration ?</t>
  </si>
  <si>
    <t>AM 4|AM 1 à AM 8</t>
  </si>
  <si>
    <t>plafond suspendu|réaction au feu</t>
  </si>
  <si>
    <t>NOT-0028|NOT-0023</t>
  </si>
  <si>
    <t>REF-A-24</t>
  </si>
  <si>
    <t>Je peux faire une ITE avec un isolant combustible ?</t>
  </si>
  <si>
    <t>Dans quelles conditions un système d'isolation thermique par l'extérieur comportant un isolant combustible est-il admis ?</t>
  </si>
  <si>
    <t>système d'isolation thermique par l'extérieur|propagation du feu par les façades</t>
  </si>
  <si>
    <t>NOT-0019|NOT-0018</t>
  </si>
  <si>
    <t>Niveau interprétatif à signaler.</t>
  </si>
  <si>
    <t>REF-A-25</t>
  </si>
  <si>
    <t>Le mobilier et les stands sont-ils concernés ?</t>
  </si>
  <si>
    <t>Le gros mobilier et les agencements sont-ils soumis à des exigences de réaction au feu et d'implantation ?</t>
  </si>
  <si>
    <t>AM 15 à AM 19</t>
  </si>
  <si>
    <t>réaction au feu|maintien des dégagements libres</t>
  </si>
  <si>
    <t>NOT-0023|NOT-0044</t>
  </si>
  <si>
    <t>REF-A-26</t>
  </si>
  <si>
    <t>Combien de sorties et quelle largeur pour mon effectif ?</t>
  </si>
  <si>
    <t>Selon quelles règles le nombre et la largeur des dégagements sont-ils déterminés ?</t>
  </si>
  <si>
    <t>CO 34|CO 35|CO 36|CO 38</t>
  </si>
  <si>
    <t>dégagement|unité de passage</t>
  </si>
  <si>
    <t>NOT-0034|NOT-0035</t>
  </si>
  <si>
    <t>Item pivot du jeu : effectif obligatoire.</t>
  </si>
  <si>
    <t>REF-A-27</t>
  </si>
  <si>
    <t>Dégagement normal, accessoire, de secours : quelle différence ?</t>
  </si>
  <si>
    <t>Quelles sont les définitions respectives des dégagements et dans quelle mesure chacun est-il comptabilisé ?</t>
  </si>
  <si>
    <t>CO 34|CO 39|CO 41</t>
  </si>
  <si>
    <t>dégagement|dégagement accessoire</t>
  </si>
  <si>
    <t>NOT-0034|NOT-0036</t>
  </si>
  <si>
    <t>REF-A-28</t>
  </si>
  <si>
    <t>Quelle distance maximale jusqu'à une sortie ?</t>
  </si>
  <si>
    <t>Quelle est la distance maximale à parcourir, mesurée suivant l'axe des circulations ?</t>
  </si>
  <si>
    <t>distance à parcourir|dégagement</t>
  </si>
  <si>
    <t>NOT-0041|NOT-0034</t>
  </si>
  <si>
    <t>REF-A-29</t>
  </si>
  <si>
    <t>Mes portes doivent s'ouvrir vers l'extérieur ?</t>
  </si>
  <si>
    <t>À partir de quel effectif les portes s'ouvrent-elles dans le sens de l'évacuation ?</t>
  </si>
  <si>
    <t>CO 45|R. 4227-1 et s.</t>
  </si>
  <si>
    <t>effectif_public|effectif_travailleurs</t>
  </si>
  <si>
    <t>Double corpus attendu.</t>
  </si>
  <si>
    <t>REF-A-30</t>
  </si>
  <si>
    <t>Je peux mettre du contrôle d'accès sur les issues de secours ?</t>
  </si>
  <si>
    <t>Dans quelles conditions un dispositif de contrôle d'accès peut-il équiper une porte de sortie de secours ?</t>
  </si>
  <si>
    <t>CO 46|R. 4227-4|R. 4227-5</t>
  </si>
  <si>
    <t>verrouillage des issues|dégagement</t>
  </si>
  <si>
    <t>NOT-0043|NOT-0034</t>
  </si>
  <si>
    <t>corpus|effectif_public</t>
  </si>
  <si>
    <t>Le mot « issue de secours » doit être converti.</t>
  </si>
  <si>
    <t>REF-A-31</t>
  </si>
  <si>
    <t>Mes escaliers doivent être encloisonnés ?</t>
  </si>
  <si>
    <t>Quels escaliers doivent être encloisonnés, mis à l'air libre ou désenfumés ?</t>
  </si>
  <si>
    <t>CO 50|CO 51|CO 52|CO 53|CO 55</t>
  </si>
  <si>
    <t>escalier encloisonné|escalier à l'air libre</t>
  </si>
  <si>
    <t>NOT-0038|NOT-0039</t>
  </si>
  <si>
    <t>REF-A-32</t>
  </si>
  <si>
    <t>Comment traiter un atrium sur trois niveaux ?</t>
  </si>
  <si>
    <t>Selon quelles dispositions sont traités les volumes intéressant plusieurs niveaux ?</t>
  </si>
  <si>
    <t>CO 24|CO 25|CO 26|instruction technique n° 263</t>
  </si>
  <si>
    <t>volume libre intérieur|cloisonnement traditionnel|secteur</t>
  </si>
  <si>
    <t>NOT-0032|NOT-0029|NOT-0030</t>
  </si>
  <si>
    <t>type_erp|nb_niveaux</t>
  </si>
  <si>
    <t>orienter_expertise</t>
  </si>
  <si>
    <t>Relève souvent d'une ingénierie et d'un avis de commission.</t>
  </si>
  <si>
    <t>REF-A-33</t>
  </si>
  <si>
    <t>Dans quels cas j'ai droit à un escalier unique ?</t>
  </si>
  <si>
    <t>Dans quels cas la desserte des niveaux par un escalier unique est-elle admise ?</t>
  </si>
  <si>
    <t>CO 39|CO 40</t>
  </si>
  <si>
    <t>escalier unique|dégagement</t>
  </si>
  <si>
    <t>NOT-0040|NOT-0034</t>
  </si>
  <si>
    <t>categorie_erp|effectif_public|nb_niveaux</t>
  </si>
  <si>
    <t>REF-A-34</t>
  </si>
  <si>
    <t>Quels locaux dois-je désenfumer ?</t>
  </si>
  <si>
    <t>Quels locaux et circulations doivent être désenfumés et à partir de quels seuils ?</t>
  </si>
  <si>
    <t>DF 4|DF 5|DF 6|instruction technique n° 246</t>
  </si>
  <si>
    <t>désenfumage|local sans ouverture sur l'extérieur</t>
  </si>
  <si>
    <t>NOT-0048|NOT-0052</t>
  </si>
  <si>
    <t>REF-A-35</t>
  </si>
  <si>
    <t>Naturel ou mécanique, comment je choisis ?</t>
  </si>
  <si>
    <t>Selon quels critères le désenfumage naturel ou mécanique est-il retenu et quels taux sont exigés ?</t>
  </si>
  <si>
    <t>DF 4 et s.|instruction technique n° 246</t>
  </si>
  <si>
    <t>désenfumage|surface utile d'évacuation des fumées|amenée d'air</t>
  </si>
  <si>
    <t>NOT-0048|NOT-0050|NOT-0051</t>
  </si>
  <si>
    <t>REF-A-36</t>
  </si>
  <si>
    <t>Comment intégrer les exutoires sans casser l'architecture ?</t>
  </si>
  <si>
    <t>Quelles règles d'implantation, de surface et de commande s'appliquent aux exutoires et amenées d'air ?</t>
  </si>
  <si>
    <t>DF 4 à DF 8|instruction technique n° 246</t>
  </si>
  <si>
    <t>dispositif d'évacuation naturelle de fumées et de chaleur|amenée d'air</t>
  </si>
  <si>
    <t>NOT-0049|NOT-0051</t>
  </si>
  <si>
    <t>La partie esthétique est hors périmètre : le signaler.</t>
  </si>
  <si>
    <t>REF-A-37</t>
  </si>
  <si>
    <t>Un atrium relève d'une approche particulière ?</t>
  </si>
  <si>
    <t>Dans quels cas un volume de grande hauteur relève-t-il de dispositions particulières ou d'une ingénierie du désenfumage ?</t>
  </si>
  <si>
    <t>instruction technique n° 246|instruction technique n° 263</t>
  </si>
  <si>
    <t>volume libre intérieur|désenfumage</t>
  </si>
  <si>
    <t>NOT-0032|NOT-0048</t>
  </si>
  <si>
    <t>REF-A-38</t>
  </si>
  <si>
    <t>Où mettre la chaufferie et le TGBT ?</t>
  </si>
  <si>
    <t>Quelles conditions d'implantation, d'isolement et de ventilation s'appliquent aux chaufferies et locaux électriques ?</t>
  </si>
  <si>
    <t>CH 5 à CH 8|EL 4 à EL 8|CO 27|CO 28</t>
  </si>
  <si>
    <t>REF-A-39</t>
  </si>
  <si>
    <t>Quelles exigences pour l'éclairage de sécurité ?</t>
  </si>
  <si>
    <t>Quelles exigences s'appliquent à l'éclairage de sécurité d'évacuation et d'ambiance ?</t>
  </si>
  <si>
    <t>EC 7 à EC 15|R. 4227-13|R. 4227-14</t>
  </si>
  <si>
    <t>REF-A-40</t>
  </si>
  <si>
    <t>Comment traiter les gaines et les ascenseurs ?</t>
  </si>
  <si>
    <t>Quelles dispositions régissent les gaines techniques et les installations d'ascenseurs ?</t>
  </si>
  <si>
    <t>CO 30 à CO 33|chapitre AS</t>
  </si>
  <si>
    <t>gaine technique|calfeutrement de traversée</t>
  </si>
  <si>
    <t>NOT-0027|NOT-0025</t>
  </si>
  <si>
    <t>REF-A-41</t>
  </si>
  <si>
    <t>Photovoltaïque, batteries, bornes de recharge : quelles contraintes ?</t>
  </si>
  <si>
    <t>Quelles exigences complémentaires s'appliquent aux installations photovoltaïques, stockages par batteries et IRVE ?</t>
  </si>
  <si>
    <t>CCH L. 113-11 et s.</t>
  </si>
  <si>
    <t>infrastructure de recharge pour véhicules électriques|local à risques particuliers</t>
  </si>
  <si>
    <t>NOT-0086|NOT-0024</t>
  </si>
  <si>
    <t>niveau_local|date_effet</t>
  </si>
  <si>
    <t>Corpus en évolution rapide : vérification de version impérative.</t>
  </si>
  <si>
    <t>REF-A-42</t>
  </si>
  <si>
    <t>Quelle catégorie de SSI pour mon projet ?</t>
  </si>
  <si>
    <t>Quelle catégorie de système de sécurité incendie et quel type d'équipement d'alarme sont exigés ?</t>
  </si>
  <si>
    <t>MS 53 à MS 60|MS 61 à MS 67</t>
  </si>
  <si>
    <t>système de sécurité incendie|équipement d'alarme</t>
  </si>
  <si>
    <t>NOT-0057|NOT-0055</t>
  </si>
  <si>
    <t>REF-A-43</t>
  </si>
  <si>
    <t>Quelle place prévoir pour la centrale SSI ?</t>
  </si>
  <si>
    <t>Quelles conditions d'implantation et d'accessibilité s'appliquent au centralisateur de mise en sécurité incendie ?</t>
  </si>
  <si>
    <t>MS 53 à MS 60|norme NF S 61-931</t>
  </si>
  <si>
    <t>centralisateur de mise en sécurité incendie|système de sécurité incendie</t>
  </si>
  <si>
    <t>NOT-0058|NOT-0057</t>
  </si>
  <si>
    <t>Renvoi normatif : référencer sans restituer.</t>
  </si>
  <si>
    <t>REF-A-44</t>
  </si>
  <si>
    <t>Quand la détection est-elle généralisée ?</t>
  </si>
  <si>
    <t>Dans quels cas la détection automatique d'incendie est-elle exigée dans l'ensemble de l'établissement ?</t>
  </si>
  <si>
    <t>REF-A-45</t>
  </si>
  <si>
    <t>À partir de quand faut-il du sprinkleur ?</t>
  </si>
  <si>
    <t>À partir de quels seuils un système d'extinction automatique est-il exigé ?</t>
  </si>
  <si>
    <t>système d'extinction automatique du type sprinkleur|référentiel assureur</t>
  </si>
  <si>
    <t>NOT-0063|NOT-0076</t>
  </si>
  <si>
    <t>type_erp|categorie_erp|surface_local</t>
  </si>
  <si>
    <t>Qualifier réglementaire vs contractuel dans la réponse.</t>
  </si>
  <si>
    <t>REF-A-46</t>
  </si>
  <si>
    <t>Quels moyens de secours et quels besoins en eau ?</t>
  </si>
  <si>
    <t>Quels moyens de secours sont exigés et selon quelles modalités les besoins en eau sont-ils arrêtés ?</t>
  </si>
  <si>
    <t>ERP|DECI</t>
  </si>
  <si>
    <t>MS 5 à MS 39|CGCT R. 2225-1 et s.|RDDECI départemental</t>
  </si>
  <si>
    <t>extincteur portatif|robinet d'incendie armé|colonne sèche|défense extérieure contre l'incendie</t>
  </si>
  <si>
    <t>NOT-0061|NOT-0062|NOT-0064|NOT-0017</t>
  </si>
  <si>
    <t>type_erp|surface_local</t>
  </si>
  <si>
    <t>La DECI est départementale : ne pas la chercher dans l'arrêté de 1980.</t>
  </si>
  <si>
    <t>REF-A-47</t>
  </si>
  <si>
    <t>C'est quoi un espace d'attente sécurisé ?</t>
  </si>
  <si>
    <t>Quelles sont les caractéristiques exigées des espaces d'attente sécurisés ?</t>
  </si>
  <si>
    <t>CO 57|CO 58|CO 59|CO 60|R. 4216-2-1</t>
  </si>
  <si>
    <t>REF-A-48</t>
  </si>
  <si>
    <t>Comment articuler évacuation différée et accessibilité ?</t>
  </si>
  <si>
    <t>Quelles solutions équivalentes sont admises et selon quelles modalités l'évacuation différée est-elle organisée ?</t>
  </si>
  <si>
    <t>évacuation différée|espace d'attente sécurisé|consigne de sécurité incendie</t>
  </si>
  <si>
    <t>NOT-0047|NOT-0046|NOT-0066</t>
  </si>
  <si>
    <t>REF-A-49</t>
  </si>
  <si>
    <t>Que doit contenir la notice de sécurité ?</t>
  </si>
  <si>
    <t>Quelles pièces la notice descriptive de sécurité doit-elle comporter et à quel stade la commission est-elle saisie ?</t>
  </si>
  <si>
    <t>GE 1 et s.|CCH R. 143-24 et s.</t>
  </si>
  <si>
    <t>notice descriptive de sécurité|autorisation de travaux|commission de sécurité|coordonnateur du système de sécurité incendie</t>
  </si>
  <si>
    <t>NOT-0089|NOT-0090|NOT-0091|NOT-0096</t>
  </si>
  <si>
    <t>REF-A-50</t>
  </si>
  <si>
    <t>Quelles vérifications avant l'ouverture au public ?</t>
  </si>
  <si>
    <t>Quelles vérifications techniques conditionnent l'autorisation d'ouverture et quelles obligations périodiques suivent ?</t>
  </si>
  <si>
    <t>GE 2 à GE 10|CCH R. 143-38 et s.|CCH R. 143-34</t>
  </si>
  <si>
    <t>vérifications techniques|autorisation d'ouverture au public|registre de sécurité</t>
  </si>
  <si>
    <t>NOT-0094|NOT-0092|NOT-0093</t>
  </si>
  <si>
    <t>REF-E-01</t>
  </si>
  <si>
    <t>J'ai du public au rez-de-chaussée et mes salariés à l'étage : quelles règles ?</t>
  </si>
  <si>
    <t>Selon quelles modalités le code du travail s'applique-t-il concurremment au règlement ERP ?</t>
  </si>
  <si>
    <t>CT|ERP</t>
  </si>
  <si>
    <t>R. 4211-1 et s.|GN 1</t>
  </si>
  <si>
    <t>application aux bâtiments existants|type d'exploitation</t>
  </si>
  <si>
    <t>NOT-0009|NOT-0001</t>
  </si>
  <si>
    <t>presence_public|presence_travailleurs</t>
  </si>
  <si>
    <t>Item pivot de la superposition de corpus.</t>
  </si>
  <si>
    <t>REF-E-02</t>
  </si>
  <si>
    <t>Je suis locataire : qui est responsable, moi ou le bailleur ?</t>
  </si>
  <si>
    <t>Selon quelle répartition s'exercent les obligations du maître d'ouvrage et celles de l'employeur ?</t>
  </si>
  <si>
    <t>R. 4211-1 et s.|L. 4121-1</t>
  </si>
  <si>
    <t>Le bail ne modifie pas l'obligation légale de l'employeur.</t>
  </si>
  <si>
    <t>REF-E-03</t>
  </si>
  <si>
    <t>Qu'est-ce qui pèse sur le maître d'ouvrage et qu'est-ce qui pèse sur moi ?</t>
  </si>
  <si>
    <t>Quelles obligations incombent au maître d'ouvrage et à compter de quand l'employeur est-il seul débiteur ?</t>
  </si>
  <si>
    <t>stade|qualite_demandeur</t>
  </si>
  <si>
    <t>REF-E-04</t>
  </si>
  <si>
    <t>Si un salarié est blessé dans un incendie, je risque quoi ?</t>
  </si>
  <si>
    <t>Quels manquements sont susceptibles d'engager la responsabilité pénale de l'employeur ?</t>
  </si>
  <si>
    <t>L. 4741-1|L. 4121-1</t>
  </si>
  <si>
    <t>Réponse à borner : le système documente, il ne qualifie pas une infraction.</t>
  </si>
  <si>
    <t>REF-E-05</t>
  </si>
  <si>
    <t>L'inspection du travail peut-elle arrêter mon activité ?</t>
  </si>
  <si>
    <t>Dans quelles conditions l'agent de contrôle peut-il mettre en demeure ou ordonner l'arrêt temporaire de l'activité ?</t>
  </si>
  <si>
    <t>L. 4721-1|L. 4731-1|L. 4732-1</t>
  </si>
  <si>
    <t>REF-E-06</t>
  </si>
  <si>
    <t>Mes locaux datent de 1985, dois-je tout refaire ?</t>
  </si>
  <si>
    <t>Les dispositions relatives à la conception des lieux de travail sont-elles applicables aux bâtiments antérieurs ?</t>
  </si>
  <si>
    <t>date_effet|existant_ou_neuf</t>
  </si>
  <si>
    <t>REF-E-07</t>
  </si>
  <si>
    <t>Comment je compte mes effectifs ? Les intérimaires comptent ?</t>
  </si>
  <si>
    <t>Selon quelles modalités l'effectif est-il décompté et quels seuils déclenchent quelles obligations ?</t>
  </si>
  <si>
    <t>L. 1111-2|L. 1111-3|R. 4227-34|R. 4227-37</t>
  </si>
  <si>
    <t>REF-E-08</t>
  </si>
  <si>
    <t>Le risque incendie doit-il figurer dans mon document unique ?</t>
  </si>
  <si>
    <t>Selon quelles modalités le risque d'incendie est-il transcrit dans le DUERP ?</t>
  </si>
  <si>
    <t>L. 4121-3|L. 4121-3-1</t>
  </si>
  <si>
    <t>REF-E-09</t>
  </si>
  <si>
    <t>Qu'est-ce qui change au-dessus de 50 salariés ?</t>
  </si>
  <si>
    <t>Quelles obligations sont subordonnées à la réunion habituelle de plus de cinquante personnes ?</t>
  </si>
  <si>
    <t>R. 4227-34|R. 4227-37|R. 4216-6 et s.</t>
  </si>
  <si>
    <t>effectif (décompte code du travail)|équipement d'alarme|consigne de sécurité incendie</t>
  </si>
  <si>
    <t>NOT-0004|NOT-0055|NOT-0066</t>
  </si>
  <si>
    <t>REF-E-10</t>
  </si>
  <si>
    <t>Comment gérer le travail isolé et les horaires de nuit ?</t>
  </si>
  <si>
    <t>Quelles mesures l'employeur prend-il pour assurer la perception de l'alarme et l'évacuation des travailleurs isolés ?</t>
  </si>
  <si>
    <t>L. 4121-1|R. 4227-34 à R. 4227-36</t>
  </si>
  <si>
    <t>équipement d'alarme|document unique d'évaluation des risques professionnels</t>
  </si>
  <si>
    <t>NOT-0055|NOT-0067</t>
  </si>
  <si>
    <t>REF-E-11</t>
  </si>
  <si>
    <t>Dois-je consulter le CSE sur l'incendie ?</t>
  </si>
  <si>
    <t>Sur quels projets le comité social et économique est-il consulté ?</t>
  </si>
  <si>
    <t>L. 2312-8|L. 2312-9|L. 2312-27</t>
  </si>
  <si>
    <t>REF-E-12</t>
  </si>
  <si>
    <t>Combien de sorties pour mon atelier ?</t>
  </si>
  <si>
    <t>Selon quelles règles le nombre, la largeur et la répartition des dégagements sont-ils déterminés ?</t>
  </si>
  <si>
    <t>R. 4216-6 et s.|R. 4227-1 et s.</t>
  </si>
  <si>
    <t>effectif_travailleurs|surface_local</t>
  </si>
  <si>
    <t>REF-E-13</t>
  </si>
  <si>
    <t>Mes portes doivent-elles s'ouvrir vers l'extérieur ?</t>
  </si>
  <si>
    <t>À partir de quel effectif les portes s'ouvrent-elles dans le sens de la sortie ?</t>
  </si>
  <si>
    <t>REF-E-14</t>
  </si>
  <si>
    <t>Quelle distance maximale jusqu'à une sortie pour mes salariés ?</t>
  </si>
  <si>
    <t>Quelle distance maximale un travailleur peut-il avoir à parcourir depuis son poste ?</t>
  </si>
  <si>
    <t>REF-E-15</t>
  </si>
  <si>
    <t>J'ai des postes en sous-sol et une mezzanine de stockage.</t>
  </si>
  <si>
    <t>Quelles dispositions particulières s'appliquent aux locaux en sous-sol et aux niveaux partiels ?</t>
  </si>
  <si>
    <t>R. 4216-6 et s.|R. 4216-13</t>
  </si>
  <si>
    <t>dégagement|local sans ouverture sur l'extérieur|désenfumage</t>
  </si>
  <si>
    <t>NOT-0034|NOT-0052|NOT-0048</t>
  </si>
  <si>
    <t>niveau_local|surface_local</t>
  </si>
  <si>
    <t>REF-E-16</t>
  </si>
  <si>
    <t>Je peux verrouiller mes issues contre le vol ?</t>
  </si>
  <si>
    <t>Dans quelles conditions un dispositif de condamnation peut-il équiper une issue de secours ?</t>
  </si>
  <si>
    <t>R. 4227-4|R. 4227-5</t>
  </si>
  <si>
    <t>verrouillage des issues|maintien des dégagements libres</t>
  </si>
  <si>
    <t>NOT-0043|NOT-0044</t>
  </si>
  <si>
    <t>Conversion lexicale « issue de secours » -&gt; dégagement.</t>
  </si>
  <si>
    <t>REF-E-17</t>
  </si>
  <si>
    <t>On stocke dans les couloirs en période de pointe, c'est grave ?</t>
  </si>
  <si>
    <t>Quelles obligations pèsent sur l'employeur quant au maintien des dégagements libres ?</t>
  </si>
  <si>
    <t>R. 4227-4|R. 4227-11</t>
  </si>
  <si>
    <t>maintien des dégagements libres|dégagement</t>
  </si>
  <si>
    <t>NOT-0044|NOT-0034</t>
  </si>
  <si>
    <t>REF-E-18</t>
  </si>
  <si>
    <t>Faut-il un point de rassemblement matérialisé ?</t>
  </si>
  <si>
    <t>L'obligation d'évacuation vers un lieu sûr implique-t-elle la désignation d'un point de rassemblement ?</t>
  </si>
  <si>
    <t>R. 4227-1|R. 4227-37</t>
  </si>
  <si>
    <t>lieu sûr|consigne de sécurité incendie</t>
  </si>
  <si>
    <t>NOT-0045|NOT-0066</t>
  </si>
  <si>
    <t>signaler_non_reglementaire</t>
  </si>
  <si>
    <t>Le terme n'est pas réglementaire : la réponse doit le dire.</t>
  </si>
  <si>
    <t>REF-E-19</t>
  </si>
  <si>
    <t>Comment évacuer un salarié en fauteuil ?</t>
  </si>
  <si>
    <t>Quelles dispositions régissent l'évacuation ou la mise à l'abri préalable des travailleurs handicapés ?</t>
  </si>
  <si>
    <t>R. 4216-2-1|R. 4214-26|R. 4214-27|R. 4214-28</t>
  </si>
  <si>
    <t>espace d'attente sécurisé|évacuation différée</t>
  </si>
  <si>
    <t>NOT-0046|NOT-0047</t>
  </si>
  <si>
    <t>REF-E-20</t>
  </si>
  <si>
    <t>Mes locaux doivent-ils être recoupés coupe-feu ?</t>
  </si>
  <si>
    <t>Selon quels critères les locaux sont-ils isolés ou recoupés par des parois résistant au feu ?</t>
  </si>
  <si>
    <t>R. 4216-1 et s.|arrêté du 05/08/1992</t>
  </si>
  <si>
    <t>résistance au feu|local à risques particuliers</t>
  </si>
  <si>
    <t>NOT-0020|NOT-0024</t>
  </si>
  <si>
    <t>surface_local|nature_risque</t>
  </si>
  <si>
    <t>Conversion « coupe-feu » -&gt; EI/REI.</t>
  </si>
  <si>
    <t>REF-E-21</t>
  </si>
  <si>
    <t>Qu'est-ce qui est un local à risque chez moi ?</t>
  </si>
  <si>
    <t>Quels locaux sont regardés comme présentant des risques particuliers d'incendie ou d'explosion ?</t>
  </si>
  <si>
    <t>R. 4216-1 et s.|R. 4227-22 et s.</t>
  </si>
  <si>
    <t>local à risques particuliers|matières inflammables</t>
  </si>
  <si>
    <t>NOT-0024|NOT-0075</t>
  </si>
  <si>
    <t>Attention au faux ami avec la notion ERP.</t>
  </si>
  <si>
    <t>REF-E-22</t>
  </si>
  <si>
    <t>Le désenfumage est-il obligatoire chez moi ?</t>
  </si>
  <si>
    <t>Quels locaux et escaliers doivent être désenfumés et à partir de quels seuils ?</t>
  </si>
  <si>
    <t>R. 4216-13|R. 4216-14|R. 4216-15|arrêté du 05/08/1992</t>
  </si>
  <si>
    <t>REF-E-23</t>
  </si>
  <si>
    <t>Mes cloisons de bureaux ont-elles un classement à respecter ?</t>
  </si>
  <si>
    <t>Quelles exigences de réaction au feu s'appliquent aux revêtements et cloisons des locaux de travail ?</t>
  </si>
  <si>
    <t>R. 4216-1 et s.|arrêté du 21/11/2002</t>
  </si>
  <si>
    <t>réaction au feu|plafond suspendu</t>
  </si>
  <si>
    <t>NOT-0023|NOT-0028</t>
  </si>
  <si>
    <t>REF-E-24</t>
  </si>
  <si>
    <t>Ma charpente métallique n'est pas protégée, c'est un problème ?</t>
  </si>
  <si>
    <t>Un degré de stabilité au feu est-il exigé des éléments porteurs au titre du code du travail ?</t>
  </si>
  <si>
    <t>CT|ICPE</t>
  </si>
  <si>
    <t>stabilité au feu des structures|installation classée pour la protection de l'environnement</t>
  </si>
  <si>
    <t>NOT-0021|NOT-0012</t>
  </si>
  <si>
    <t>Souvent l'exigence procède de l'ICPE ou de l'assurance, pas du code du travail.</t>
  </si>
  <si>
    <t>REF-E-25</t>
  </si>
  <si>
    <t>Mon plénum traverse tout l'étage, faut-il le recouper ?</t>
  </si>
  <si>
    <t>Les plénums et vides techniques sont-ils recoupés pour s'opposer à la propagation ?</t>
  </si>
  <si>
    <t>plafond suspendu|calfeutrement de traversée</t>
  </si>
  <si>
    <t>NOT-0028|NOT-0025</t>
  </si>
  <si>
    <t>REF-E-26</t>
  </si>
  <si>
    <t>Combien de bidons de solvant puis-je garder à l'atelier ?</t>
  </si>
  <si>
    <t>Quelles quantités de matières inflammables peuvent être détenues dans un local de travail ?</t>
  </si>
  <si>
    <t>matières inflammables|local à risques particuliers</t>
  </si>
  <si>
    <t>NOT-0075|NOT-0024</t>
  </si>
  <si>
    <t>REF-E-27</t>
  </si>
  <si>
    <t>Mes stockages me font-ils basculer en ICPE ?</t>
  </si>
  <si>
    <t>À partir de quels seuils les stockages relèvent-ils de la nomenclature ICPE et comment les régimes s'articulent-ils ?</t>
  </si>
  <si>
    <t>Code de l'environnement L. 511-1 et s.|nomenclature ICPE</t>
  </si>
  <si>
    <t>installation classée pour la protection de l'environnement|matières inflammables</t>
  </si>
  <si>
    <t>NOT-0012|NOT-0075</t>
  </si>
  <si>
    <t>REF-E-28</t>
  </si>
  <si>
    <t>Ai-je des zones ATEX ?</t>
  </si>
  <si>
    <t>Selon quelles modalités l'employeur subdivise-t-il en zones les emplacements où des atmosphères explosives peuvent se présenter ?</t>
  </si>
  <si>
    <t>REF-E-29</t>
  </si>
  <si>
    <t>Le document ATEX est-il obligatoire chez moi ?</t>
  </si>
  <si>
    <t>Dans quels cas le document relatif à la protection contre les explosions est-il établi ?</t>
  </si>
  <si>
    <t>document relatif à la protection contre les explosions|atmosphère explosive</t>
  </si>
  <si>
    <t>NOT-0069|NOT-0068</t>
  </si>
  <si>
    <t>REF-E-30</t>
  </si>
  <si>
    <t>Quelles règles pour mon local de charge de chariots ?</t>
  </si>
  <si>
    <t>Quelles exigences de ventilation, d'isolement et d'installations électriques s'appliquent aux locaux de charge ?</t>
  </si>
  <si>
    <t>local de charge d'accumulateurs|local à risques particuliers</t>
  </si>
  <si>
    <t>NOT-0074|NOT-0024</t>
  </si>
  <si>
    <t>REF-E-31</t>
  </si>
  <si>
    <t>Je peux stocker des palettes le long de ma façade ?</t>
  </si>
  <si>
    <t>Quelles dispositions régissent l'entreposage de matières combustibles à proximité des façades et des issues ?</t>
  </si>
  <si>
    <t>R. 4227-4|R. 4227-20 et s.</t>
  </si>
  <si>
    <t>maintien des dégagements libres|matières inflammables</t>
  </si>
  <si>
    <t>NOT-0044|NOT-0075</t>
  </si>
  <si>
    <t>Souvent traité par l'arrêté préfectoral ICPE.</t>
  </si>
  <si>
    <t>REF-E-32</t>
  </si>
  <si>
    <t>Un prestataire vient souder : il faut un permis de feu ?</t>
  </si>
  <si>
    <t>Les travaux par points chauds figurent-ils au nombre des travaux dangereux soumis à plan de prévention écrit ?</t>
  </si>
  <si>
    <t>R. 4512-6|R. 4512-7|arrêté du 19/03/1993</t>
  </si>
  <si>
    <t>Conversion : le terme réglementaire est le plan de prévention.</t>
  </si>
  <si>
    <t>REF-E-33</t>
  </si>
  <si>
    <t>Combien d'extincteurs et où ?</t>
  </si>
  <si>
    <t>Selon quelles règles le nombre, la nature et l'implantation des extincteurs sont-ils déterminés ?</t>
  </si>
  <si>
    <t>R. 4227-28|R. 4227-29</t>
  </si>
  <si>
    <t>REF-E-34</t>
  </si>
  <si>
    <t>Des RIA ou du sprinkleur sont-ils obligatoires ?</t>
  </si>
  <si>
    <t>Dans quels cas des RIA ou installations fixes d'extinction sont-ils exigés lorsque la nature des risques le justifie ?</t>
  </si>
  <si>
    <t>robinet d'incendie armé|système d'extinction automatique du type sprinkleur|référentiel assureur</t>
  </si>
  <si>
    <t>NOT-0062|NOT-0063|NOT-0076</t>
  </si>
  <si>
    <t>REF-E-35</t>
  </si>
  <si>
    <t>C'est la loi ou c'est mon assureur qui l'exige ?</t>
  </si>
  <si>
    <t>Quelles exigences procèdent de la réglementation et quelles autres de stipulations contractuelles ?</t>
  </si>
  <si>
    <t>Item central de qualification du niveau de normativité.</t>
  </si>
  <si>
    <t>REF-E-36</t>
  </si>
  <si>
    <t>Mon alarme est-elle audible partout, y compris dans l'atelier bruyant ?</t>
  </si>
  <si>
    <t>Le système d'alarme sonore est-il audible en tout point pendant le temps nécessaire à l'évacuation ?</t>
  </si>
  <si>
    <t>R. 4227-34|R. 4227-35|R. 4227-36</t>
  </si>
  <si>
    <t>REF-E-37</t>
  </si>
  <si>
    <t>Faut-il de la détection automatique chez moi ?</t>
  </si>
  <si>
    <t>Dans quels cas la détection automatique d'incendie est-elle requise ?</t>
  </si>
  <si>
    <t>REF-E-38</t>
  </si>
  <si>
    <t>Dois-je transmettre l'alarme aux pompiers ?</t>
  </si>
  <si>
    <t>L'employeur est-il tenu d'assurer la transmission de l'alarme aux services de secours extérieurs ?</t>
  </si>
  <si>
    <t>alerte|équipement d'alarme</t>
  </si>
  <si>
    <t>NOT-0056|NOT-0055</t>
  </si>
  <si>
    <t>Distinction alarme / alerte à opérer explicitement.</t>
  </si>
  <si>
    <t>REF-E-39</t>
  </si>
  <si>
    <t>Quels affichages sont obligatoires ?</t>
  </si>
  <si>
    <t>Quels documents sont affichés dans l'établissement et selon quelles exigences de signalisation ?</t>
  </si>
  <si>
    <t>R. 4227-37|R. 4227-38|arrêté du 04/11/1993</t>
  </si>
  <si>
    <t>REF-E-40</t>
  </si>
  <si>
    <t>Que doit contenir ma consigne incendie ?</t>
  </si>
  <si>
    <t>Quelles mentions la consigne de sécurité incendie comporte-t-elle obligatoirement ?</t>
  </si>
  <si>
    <t>R. 4227-37|R. 4227-38</t>
  </si>
  <si>
    <t>REF-E-41</t>
  </si>
  <si>
    <t>Dois-je nommer des guides-files et serre-files ?</t>
  </si>
  <si>
    <t>Selon quelles modalités sont désignés les travailleurs chargés de la mise en œuvre des moyens de premiers secours et de l'évacuation ?</t>
  </si>
  <si>
    <t>Les termes guide-file / serre-file ne figurent pas dans le code.</t>
  </si>
  <si>
    <t>REF-E-42</t>
  </si>
  <si>
    <t>Quelle formation incendie est obligatoire ?</t>
  </si>
  <si>
    <t>Quelle formation à la sécurité relative au comportement en cas d'incendie l'employeur dispense-t-il ?</t>
  </si>
  <si>
    <t>L. 4141-2|R. 4141-3|R. 4141-3-1</t>
  </si>
  <si>
    <t>REF-E-43</t>
  </si>
  <si>
    <t>L'exercice d'évacuation tous les six mois s'applique à moi ?</t>
  </si>
  <si>
    <t>Selon quelle périodicité les essais et exercices d'évacuation sont-ils organisés et tracés ?</t>
  </si>
  <si>
    <t>essais et exercices périodiques|registres et documents de santé et sécurité</t>
  </si>
  <si>
    <t>NOT-0072|NOT-0078</t>
  </si>
  <si>
    <t>REF-E-44</t>
  </si>
  <si>
    <t>Comment intégrer les intérimaires et les nouveaux ?</t>
  </si>
  <si>
    <t>Quelle formation renforcée est dispensée aux salariés temporaires affectés à des postes à risques particuliers ?</t>
  </si>
  <si>
    <t>L. 4154-2|R. 4141-3-1</t>
  </si>
  <si>
    <t>formation à la sécurité|effectif (décompte code du travail)</t>
  </si>
  <si>
    <t>NOT-0073|NOT-0004</t>
  </si>
  <si>
    <t>REF-E-45</t>
  </si>
  <si>
    <t>Y a-t-il un lien entre mes SST et mon organisation incendie ?</t>
  </si>
  <si>
    <t>Selon quelles modalités l'organisation des secours d'urgence est-elle articulée avec la lutte contre l'incendie ?</t>
  </si>
  <si>
    <t>R. 4224-14 à R. 4224-16|R. 4227-38</t>
  </si>
  <si>
    <t>REF-E-46</t>
  </si>
  <si>
    <t>Quelles vérifications périodiques dois-je faire faire ?</t>
  </si>
  <si>
    <t>Quelles installations font l'objet de vérifications périodiques et par quelles personnes qualifiées ?</t>
  </si>
  <si>
    <t>R. 4224-17|R. 4226-14 et s.</t>
  </si>
  <si>
    <t>vérifications techniques|rapport de vérification réglementaire</t>
  </si>
  <si>
    <t>NOT-0094|NOT-0095</t>
  </si>
  <si>
    <t>REF-E-47</t>
  </si>
  <si>
    <t>Le registre de sécurité est-il obligatoire hors ERP ?</t>
  </si>
  <si>
    <t>Quels registres et documents l'employeur tient-il à la disposition de l'agent de contrôle ?</t>
  </si>
  <si>
    <t>registres et documents de santé et sécurité|registre de sécurité</t>
  </si>
  <si>
    <t>NOT-0078|NOT-0093</t>
  </si>
  <si>
    <t>Faux ami : le registre de sécurité ERP a un fondement distinct.</t>
  </si>
  <si>
    <t>REF-E-48</t>
  </si>
  <si>
    <t>Que se passe-t-il si je ne lève pas les réserves du rapport ?</t>
  </si>
  <si>
    <t>Quelles conséquences s'attachent à l'absence de suite donnée aux observations d'un rapport de vérification ?</t>
  </si>
  <si>
    <t>L. 4121-1|R. 4224-17</t>
  </si>
  <si>
    <t>rapport de vérification réglementaire|vérifications techniques</t>
  </si>
  <si>
    <t>NOT-0095|NOT-0094</t>
  </si>
  <si>
    <t>Réponse à borner : effets sur la faute et sur la garantie.</t>
  </si>
  <si>
    <t>REF-E-49</t>
  </si>
  <si>
    <t>Je réaménage mes plateaux, dois-je refaire une analyse ?</t>
  </si>
  <si>
    <t>À l'occasion de quelles modifications l'employeur procède-t-il à une nouvelle évaluation des risques ?</t>
  </si>
  <si>
    <t>L. 4121-3</t>
  </si>
  <si>
    <t>document unique d'évaluation des risques professionnels|dégagement|désenfumage</t>
  </si>
  <si>
    <t>NOT-0067|NOT-0034|NOT-0048</t>
  </si>
  <si>
    <t>REF-E-50</t>
  </si>
  <si>
    <t>Que dois-je pouvoir montrer en cas de contrôle ?</t>
  </si>
  <si>
    <t>Quels éléments l'employeur doit-il produire pour justifier de l'exécution de ses obligations et pendant quelles durées ?</t>
  </si>
  <si>
    <t>L. 4711-1 et s.|R. 4224-17</t>
  </si>
  <si>
    <t>registres et documents de santé et sécurité|vérifications techniques</t>
  </si>
  <si>
    <t>NOT-0078|NOT-0094</t>
  </si>
  <si>
    <t>Intention de type « que dois-je pouvoir prouver » : format de réponse spécifique.</t>
  </si>
  <si>
    <t>REF-G-01</t>
  </si>
  <si>
    <t>Mon immeuble est en quelle famille ?</t>
  </si>
  <si>
    <t>Selon quels critères les bâtiments d'habitation sont-ils classés en familles ?</t>
  </si>
  <si>
    <t>nb_niveaux|hauteur_plancher_bas</t>
  </si>
  <si>
    <t>Item pivot : sans famille, rien n'est calculable.</t>
  </si>
  <si>
    <t>REF-G-02</t>
  </si>
  <si>
    <t>Quel texte s'applique à un immeuble de 1972 ?</t>
  </si>
  <si>
    <t>Quelles dispositions sont applicables au regard de la date de délivrance du permis de construire ?</t>
  </si>
  <si>
    <t>arr. 31/01/1986|arrêté du 10/09/1970</t>
  </si>
  <si>
    <t>application aux bâtiments existants|famille</t>
  </si>
  <si>
    <t>NOT-0009|NOT-0005</t>
  </si>
  <si>
    <t>REF-G-03</t>
  </si>
  <si>
    <t>Dois-je mettre mon parc ancien aux normes actuelles ?</t>
  </si>
  <si>
    <t>Les dispositions sont-elles applicables aux bâtiments achevés antérieurement et quels travaux les rendent applicables ?</t>
  </si>
  <si>
    <t>REF-G-04</t>
  </si>
  <si>
    <t>À partir de quelle hauteur je bascule en IGH ?</t>
  </si>
  <si>
    <t>À partir de quelle hauteur un bâtiment d'habitation relève-t-il du régime des immeubles de grande hauteur ?</t>
  </si>
  <si>
    <t>IGH|HAB</t>
  </si>
  <si>
    <t>Seuil de 50 m en habitation, à ne pas confondre avec 28 m.</t>
  </si>
  <si>
    <t>REF-G-05</t>
  </si>
  <si>
    <t>J'ai une crèche en pied d'immeuble : qui fait quoi ?</t>
  </si>
  <si>
    <t>Quels degrés d'isolement sont exigés entre logements et ERP et selon quelle répartition des obligations ?</t>
  </si>
  <si>
    <t>HAB|ERP</t>
  </si>
  <si>
    <t>arr. 31/01/1986 art. 5|CO 6 à CO 10</t>
  </si>
  <si>
    <t>tiers contigu ou superposé|type d'exploitation</t>
  </si>
  <si>
    <t>NOT-0007|NOT-0001</t>
  </si>
  <si>
    <t>famille_habitation|type_erp</t>
  </si>
  <si>
    <t>REF-G-06</t>
  </si>
  <si>
    <t>Je transforme des bureaux en logements : quel référentiel ?</t>
  </si>
  <si>
    <t>Quel référentiel est applicable au changement de destination et emporte-t-il mise en conformité de l'existant ?</t>
  </si>
  <si>
    <t>arr. 31/01/1986|CCH R. 142-1 et s.</t>
  </si>
  <si>
    <t>REF-G-07</t>
  </si>
  <si>
    <t>Quel coupe-feu pour mes planchers ? Je n'ai aucun PV.</t>
  </si>
  <si>
    <t>Quels degrés de résistance au feu sont exigés des planchers et parois séparatives et comment l'apprécier sans PV d'origine ?</t>
  </si>
  <si>
    <t>résistance au feu|procès-verbal de classement|famille</t>
  </si>
  <si>
    <t>NOT-0020|NOT-0022|NOT-0005</t>
  </si>
  <si>
    <t>Conversion « coupe-feu » + variable famille manquante.</t>
  </si>
  <si>
    <t>REF-G-08</t>
  </si>
  <si>
    <t>Un locataire a changé sa porte palière, c'est un problème ?</t>
  </si>
  <si>
    <t>À partir de quelle famille les blocs-portes paliers présentent-ils un degré pare-flamme déterminé ?</t>
  </si>
  <si>
    <t>arr. 31/01/1986 art. 11|arr. 31/01/1986 art. 27</t>
  </si>
  <si>
    <t>bloc-porte palier|résistance au feu</t>
  </si>
  <si>
    <t>NOT-0033|NOT-0020</t>
  </si>
  <si>
    <t>REF-G-09</t>
  </si>
  <si>
    <t>La fibre a percé mes gaines partout, que faire ?</t>
  </si>
  <si>
    <t>Quelles règles de recoupement s'appliquent aux gaines et trémies et comment vérifier l'intégrité des calfeutrements ?</t>
  </si>
  <si>
    <t>Défaut le plus fréquent en patrimoine.</t>
  </si>
  <si>
    <t>REF-G-10</t>
  </si>
  <si>
    <t>Je fais une ITE : quelles règles incendie ?</t>
  </si>
  <si>
    <t>Quelles exigences relatives à la propagation par les façades s'appliquent à un ITE comportant un isolant combustible ?</t>
  </si>
  <si>
    <t>REF-G-11</t>
  </si>
  <si>
    <t>Les locataires ferment leurs loggias, je peux l'interdire ?</t>
  </si>
  <si>
    <t>La fermeture d'une loggia est-elle de nature à modifier le comportement au feu de la façade ?</t>
  </si>
  <si>
    <t>instruction technique n° 249|loi n° 89-462 art. 7</t>
  </si>
  <si>
    <t>propagation du feu par les façades|obligation de souffrir les travaux</t>
  </si>
  <si>
    <t>NOT-0018|NOT-0082</t>
  </si>
  <si>
    <t>Réponse technique + fondement contractuel.</t>
  </si>
  <si>
    <t>REF-G-12</t>
  </si>
  <si>
    <t>J'installe du photovoltaïque en toiture : quelles précautions ?</t>
  </si>
  <si>
    <t>Quelles exigences s'appliquent aux installations photovoltaïques équipant un bâtiment d'habitation ?</t>
  </si>
  <si>
    <t>arr. 31/01/1986|guides et avis techniques</t>
  </si>
  <si>
    <t>famille_habitation|date_effet</t>
  </si>
  <si>
    <t>Corpus incomplet : orienter vers avis SDIS et assureur.</t>
  </si>
  <si>
    <t>REF-G-13</t>
  </si>
  <si>
    <t>Mes caves sont encombrées, quel isolement exigé ?</t>
  </si>
  <si>
    <t>Quels degrés d'isolement sont exigés entre les caves et les escaliers et quelles obligations quant aux dépôts ?</t>
  </si>
  <si>
    <t>arr. 31/01/1986|règlement sanitaire départemental</t>
  </si>
  <si>
    <t>maintien des dégagements libres|règlement sanitaire départemental</t>
  </si>
  <si>
    <t>NOT-0044|NOT-0088</t>
  </si>
  <si>
    <t>REF-G-14</t>
  </si>
  <si>
    <t>Un seul escalier, c'est admis ?</t>
  </si>
  <si>
    <t>Dans quels cas la desserte des logements par un escalier unique est-elle admise et quelle distance maximale s'applique ?</t>
  </si>
  <si>
    <t>arr. 31/01/1986 art. 27 et s.|arr. 31/01/1986 art. 12</t>
  </si>
  <si>
    <t>escalier unique|distance à parcourir</t>
  </si>
  <si>
    <t>NOT-0040|NOT-0041</t>
  </si>
  <si>
    <t>REF-G-15</t>
  </si>
  <si>
    <t>Mon escalier n'est ni encloisonné ni à l'air libre, que faire ?</t>
  </si>
  <si>
    <t>Selon la famille, l'escalier est-il à l'air libre, encloisonné ou désenfumé, et quelles mesures compensatoires envisager ?</t>
  </si>
  <si>
    <t>escalier encloisonné|escalier à l'air libre|mesure compensatoire</t>
  </si>
  <si>
    <t>NOT-0038|NOT-0039|NOT-0011</t>
  </si>
  <si>
    <t>REF-G-16</t>
  </si>
  <si>
    <t>Les halls sont pleins de poussettes et de vélos, que puis-je faire ?</t>
  </si>
  <si>
    <t>Quelles obligations pèsent sur le propriétaire quant au maintien des circulations communes libres de tout dépôt ?</t>
  </si>
  <si>
    <t>arr. 31/01/1986|règlement sanitaire départemental|loi n° 89-462</t>
  </si>
  <si>
    <t>maintien des dégagements libres|règlement sanitaire départemental|circulation horizontale</t>
  </si>
  <si>
    <t>NOT-0044|NOT-0088|NOT-0037</t>
  </si>
  <si>
    <t>Le fondement n'est pas constructif mais sanitaire et contractuel.</t>
  </si>
  <si>
    <t>REF-G-17</t>
  </si>
  <si>
    <t>Mes portes de hall sont verrouillées : les pompiers peuvent-ils entrer ?</t>
  </si>
  <si>
    <t>Quels dispositifs de contrôle d'accès peuvent équiper les parties communes sans faire obstacle à l'intervention des secours ?</t>
  </si>
  <si>
    <t>arr. 31/01/1986|dispositions départementales</t>
  </si>
  <si>
    <t>verrouillage des issues|pouvoirs de police du maire</t>
  </si>
  <si>
    <t>NOT-0043|NOT-0087</t>
  </si>
  <si>
    <t>Le dispositif d'accès pompiers relève souvent d'une doctrine départementale.</t>
  </si>
  <si>
    <t>REF-G-18</t>
  </si>
  <si>
    <t>Dois-je dire aux locataires de rester chez eux ou d'évacuer ?</t>
  </si>
  <si>
    <t>Quelles consignes doivent être portées à la connaissance des occupants selon le lieu du sinistre ?</t>
  </si>
  <si>
    <t>consigne de sécurité incendie|famille</t>
  </si>
  <si>
    <t>NOT-0066|NOT-0005</t>
  </si>
  <si>
    <t>La doctrine du maintien dans le logement dépend du niveau de compartimentage réel.</t>
  </si>
  <si>
    <t>REF-G-19</t>
  </si>
  <si>
    <t>Puis-je recenser mes locataires handicapés pour les pompiers ?</t>
  </si>
  <si>
    <t>Selon quelles modalités la présence d'occupants à mobilité réduite peut-elle être portée à la connaissance des secours ?</t>
  </si>
  <si>
    <t>HAB|RGPD</t>
  </si>
  <si>
    <t>RGPD|CCH</t>
  </si>
  <si>
    <t>Question mixte sécurité / données personnelles : hors corpus incendie.</t>
  </si>
  <si>
    <t>REF-G-20</t>
  </si>
  <si>
    <t>Le désenfumage des circulations est-il obligatoire ?</t>
  </si>
  <si>
    <t>À partir de quelle famille le désenfumage des circulations communes et des escaliers est-il exigé ?</t>
  </si>
  <si>
    <t>désenfumage|circulation horizontale|famille</t>
  </si>
  <si>
    <t>NOT-0048|NOT-0037|NOT-0005</t>
  </si>
  <si>
    <t>REF-G-21</t>
  </si>
  <si>
    <t>À quelle fréquence vérifier les exutoires ?</t>
  </si>
  <si>
    <t>Selon quelles périodicités les dispositifs d'évacuation de fumées et leurs commandes sont-ils vérifiés ?</t>
  </si>
  <si>
    <t>arr. 31/01/1986|contrats de maintenance</t>
  </si>
  <si>
    <t>dispositif d'évacuation naturelle de fumées et de chaleur|vérifications techniques</t>
  </si>
  <si>
    <t>NOT-0049|NOT-0094</t>
  </si>
  <si>
    <t>Périodicité peu normée en habitation : le signaler.</t>
  </si>
  <si>
    <t>REF-G-22</t>
  </si>
  <si>
    <t>Ma VMC gaz, quel contrôle et à quelle fréquence ?</t>
  </si>
  <si>
    <t>Quel dispositif de sécurité équipe une VMC desservant des appareils à gaz et selon quelle périodicité est-il contrôlé ?</t>
  </si>
  <si>
    <t>arrêté du 23/02/2018</t>
  </si>
  <si>
    <t>dispositif de sécurité collective (VMC gaz)|vérifications techniques</t>
  </si>
  <si>
    <t>NOT-0053|NOT-0094</t>
  </si>
  <si>
    <t>REF-G-23</t>
  </si>
  <si>
    <t>Le ramonage, c'est moi ou le locataire ?</t>
  </si>
  <si>
    <t>Selon quelle répartition les obligations d'entretien et de ramonage incombent-elles au propriétaire et à l'occupant ?</t>
  </si>
  <si>
    <t>décret n° 87-712|règlement sanitaire départemental</t>
  </si>
  <si>
    <t>conduit de fumée|charges locatives récupérables</t>
  </si>
  <si>
    <t>NOT-0054|NOT-0081</t>
  </si>
  <si>
    <t>Réponse hors CCH.</t>
  </si>
  <si>
    <t>REF-G-24</t>
  </si>
  <si>
    <t>Comment savoir si mes clapets existent encore ?</t>
  </si>
  <si>
    <t>Quelles exigences s'appliquent aux dispositifs d'obturation des traversées et comment établir leur état ?</t>
  </si>
  <si>
    <t>clapet coupe-feu|calfeutrement de traversée|gaine technique</t>
  </si>
  <si>
    <t>NOT-0026|NOT-0025|NOT-0027</t>
  </si>
  <si>
    <t>REF-G-25</t>
  </si>
  <si>
    <t>Qui installe et qui entretient les détecteurs de fumée ?</t>
  </si>
  <si>
    <t>Selon quelles modalités le propriétaire équipe-t-il chaque logement d'un détecteur de fumée normalisé ?</t>
  </si>
  <si>
    <t>CCH L. 142-2 et s.|arrêté du 05/02/2013|décret n° 2011-36</t>
  </si>
  <si>
    <t>Item pivot du corpus habitation.</t>
  </si>
  <si>
    <t>REF-G-26</t>
  </si>
  <si>
    <t>Un locataire a débranché son détecteur, que faire ?</t>
  </si>
  <si>
    <t>Quelles suites peuvent être données à la mise hors service d'un détecteur par l'occupant ?</t>
  </si>
  <si>
    <t>CCH L. 142-2 et s.|loi n° 89-462 art. 7</t>
  </si>
  <si>
    <t>détecteur de fumée normalisé|obligation de souffrir les travaux</t>
  </si>
  <si>
    <t>NOT-0060|NOT-0082</t>
  </si>
  <si>
    <t>REF-G-27</t>
  </si>
  <si>
    <t>Faut-il une alarme incendie collective dans mon immeuble ?</t>
  </si>
  <si>
    <t>Un équipement d'alarme collective est-il exigé dans les bâtiments d'habitation ?</t>
  </si>
  <si>
    <t>—</t>
  </si>
  <si>
    <t>équipement d'alarme|famille</t>
  </si>
  <si>
    <t>NOT-0055|NOT-0005</t>
  </si>
  <si>
    <t>signaler_absence</t>
  </si>
  <si>
    <t>Réponse d'absence attendue, sauf régimes particuliers (type J, type O).</t>
  </si>
  <si>
    <t>REF-G-28</t>
  </si>
  <si>
    <t>À partir de quand faut-il des colonnes sèches ?</t>
  </si>
  <si>
    <t>À partir de quelle famille les bâtiments sont-ils équipés de colonnes sèches et selon quelles vérifications ?</t>
  </si>
  <si>
    <t>colonne sèche|famille</t>
  </si>
  <si>
    <t>NOT-0064|NOT-0005</t>
  </si>
  <si>
    <t>famille_habitation|hauteur_plancher_bas</t>
  </si>
  <si>
    <t>REF-G-29</t>
  </si>
  <si>
    <t>Dois-je mettre des extincteurs dans les parties communes ?</t>
  </si>
  <si>
    <t>La présence d'extincteurs en parties communes procède-t-elle d'une obligation réglementaire ?</t>
  </si>
  <si>
    <t>extincteur portatif|référentiel assureur</t>
  </si>
  <si>
    <t>NOT-0061|NOT-0076</t>
  </si>
  <si>
    <t>Item d'absence : la réponse doit renvoyer au contrat d'assurance.</t>
  </si>
  <si>
    <t>REF-G-30</t>
  </si>
  <si>
    <t>L'éclairage de sécurité est-il obligatoire dans mes circulations ?</t>
  </si>
  <si>
    <t>Dans quels cas un éclairage de sécurité équipe-t-il les circulations communes et les escaliers ?</t>
  </si>
  <si>
    <t>éclairage de sécurité|circulation horizontale</t>
  </si>
  <si>
    <t>NOT-0065|NOT-0037</t>
  </si>
  <si>
    <t>REF-G-31</t>
  </si>
  <si>
    <t>Quelles règles pour mon parking en sous-sol ?</t>
  </si>
  <si>
    <t>Quelles dispositions régissent les parcs de stationnement couverts liés aux bâtiments d'habitation ?</t>
  </si>
  <si>
    <t>HAB|ICPE</t>
  </si>
  <si>
    <t>arr. 31/01/1986 art. 77 et s.|nomenclature ICPE rubrique 2935</t>
  </si>
  <si>
    <t>REF-G-32</t>
  </si>
  <si>
    <t>J'installe des bornes de recharge au sous-sol : quelles contraintes ?</t>
  </si>
  <si>
    <t>Quelles obligations de pré-équipement et prescriptions techniques s'appliquent aux IRVE en parc couvert ?</t>
  </si>
  <si>
    <t>CCH L. 113-11 et s.|CCH R. 113-x</t>
  </si>
  <si>
    <t>infrastructure de recharge pour véhicules électriques|parc de stationnement couvert</t>
  </si>
  <si>
    <t>NOT-0086|NOT-0085</t>
  </si>
  <si>
    <t>Vérification de version impérative.</t>
  </si>
  <si>
    <t>REF-G-33</t>
  </si>
  <si>
    <t>Puis-je interdire les voitures électriques au sous-sol ?</t>
  </si>
  <si>
    <t>Les restrictions au stationnement de véhicules électriques en infrastructure souterraine sont-elles opposables ?</t>
  </si>
  <si>
    <t>infrastructure de recharge pour véhicules électriques|référentiel assureur</t>
  </si>
  <si>
    <t>NOT-0086|NOT-0076</t>
  </si>
  <si>
    <t>Aucune interdiction réglementaire générale : distinguer préconisation et opposabilité.</t>
  </si>
  <si>
    <t>REF-G-34</t>
  </si>
  <si>
    <t>Puis-je interdire la charge des trottinettes dans les logements ?</t>
  </si>
  <si>
    <t>Quelles prescriptions peuvent régir la charge d'engins électriques dans les logements et locaux communs ?</t>
  </si>
  <si>
    <t>règlement sanitaire départemental|loi n° 89-462 art. 4</t>
  </si>
  <si>
    <t>règlement sanitaire départemental|logement décent</t>
  </si>
  <si>
    <t>NOT-0088|NOT-0080</t>
  </si>
  <si>
    <t>Réponse contractuelle et sanitaire, non constructive.</t>
  </si>
  <si>
    <t>REF-G-35</t>
  </si>
  <si>
    <t>Mes locaux poubelles brûlent régulièrement, quelles exigences ?</t>
  </si>
  <si>
    <t>Quelles exigences d'isolement et de ventilation s'appliquent aux locaux d'ordures ménagères ?</t>
  </si>
  <si>
    <t>arr. 31/01/1986 art. 78 et s.|règlement sanitaire départemental</t>
  </si>
  <si>
    <t>REF-G-36</t>
  </si>
  <si>
    <t>Un défaut de compartimentage rend-il le logement indécent ?</t>
  </si>
  <si>
    <t>Dans quelle mesure l'obligation de délivrer un logement décent s'étend-elle aux caractéristiques de protection contre l'incendie ?</t>
  </si>
  <si>
    <t>loi n° 89-462 art. 6|décret n° 2002-120</t>
  </si>
  <si>
    <t>logement décent|résistance au feu</t>
  </si>
  <si>
    <t>NOT-0080|NOT-0020</t>
  </si>
  <si>
    <t>Réponse hors CCH construction.</t>
  </si>
  <si>
    <t>REF-G-37</t>
  </si>
  <si>
    <t>Quelles clauses incendie puis-je mettre au bail ?</t>
  </si>
  <si>
    <t>Quelles stipulations peuvent être régulièrement insérées au contrat de location et lesquelles sont réputées non écrites ?</t>
  </si>
  <si>
    <t>loi n° 89-462 art. 4</t>
  </si>
  <si>
    <t>logement décent|obligation de souffrir les travaux</t>
  </si>
  <si>
    <t>NOT-0080|NOT-0082</t>
  </si>
  <si>
    <t>REF-G-38</t>
  </si>
  <si>
    <t>Puis-je refacturer l'entretien des détecteurs et du désenfumage ?</t>
  </si>
  <si>
    <t>Quelles dépenses d'entretien des équipements de sécurité figurent au nombre des charges récupérables ?</t>
  </si>
  <si>
    <t>décret n° 87-713</t>
  </si>
  <si>
    <t>charges locatives récupérables|détecteur de fumée normalisé|désenfumage</t>
  </si>
  <si>
    <t>NOT-0081|NOT-0060|NOT-0048</t>
  </si>
  <si>
    <t>REF-G-39</t>
  </si>
  <si>
    <t>Le locataire refuse l'accès pour la vérification, que faire ?</t>
  </si>
  <si>
    <t>Selon quelles modalités le bailleur peut-il obtenir l'accès au logement pour les travaux nécessaires ?</t>
  </si>
  <si>
    <t>obligation de souffrir les travaux|vérifications techniques</t>
  </si>
  <si>
    <t>NOT-0082|NOT-0094</t>
  </si>
  <si>
    <t>REF-G-40</t>
  </si>
  <si>
    <t>Un locataire stocke des bidons sur son balcon, quels leviers ?</t>
  </si>
  <si>
    <t>Quelles prescriptions régissent l'entreposage de matières dangereuses dans les logements et sur les balcons ?</t>
  </si>
  <si>
    <t>règlement sanitaire départemental|CGCT L. 2212-2</t>
  </si>
  <si>
    <t>règlement sanitaire départemental|pouvoirs de police du maire</t>
  </si>
  <si>
    <t>NOT-0088|NOT-0087</t>
  </si>
  <si>
    <t>REF-G-41</t>
  </si>
  <si>
    <t>Je fais de la location courte durée : ça change quelque chose ?</t>
  </si>
  <si>
    <t>À partir de quels seuils la location de courte durée fait-elle relever le local d'un autre régime réglementaire ?</t>
  </si>
  <si>
    <t>CCH|GN 1</t>
  </si>
  <si>
    <t>type d'exploitation|famille</t>
  </si>
  <si>
    <t>NOT-0001|NOT-0005</t>
  </si>
  <si>
    <t>REF-G-42</t>
  </si>
  <si>
    <t>Qui contrôle mes immeubles d'habitation ?</t>
  </si>
  <si>
    <t>Les bâtiments d'habitation ordinaires sont-ils soumis au contrôle des commissions de sécurité ?</t>
  </si>
  <si>
    <t>CGCT L. 2212-2|CCH L. 511-1 et s.</t>
  </si>
  <si>
    <t>commission de sécurité|pouvoirs de police du maire</t>
  </si>
  <si>
    <t>NOT-0091|NOT-0087</t>
  </si>
  <si>
    <t>Item d'absence majeur.</t>
  </si>
  <si>
    <t>REF-G-43</t>
  </si>
  <si>
    <t>Le registre de sécurité est-il obligatoire chez moi ?</t>
  </si>
  <si>
    <t>La tenue d'un registre de sécurité est-elle exigée dans les bâtiments d'habitation autres que les IGH ?</t>
  </si>
  <si>
    <t>—|CCH R. 143-34 (pour les ERP)</t>
  </si>
  <si>
    <t>Absence + recommandation de traçabilité de fait.</t>
  </si>
  <si>
    <t>REF-G-44</t>
  </si>
  <si>
    <t>Quel plan de vérifications périodiques bâtir ?</t>
  </si>
  <si>
    <t>Quelles installations font l'objet de vérifications périodiques, selon quelles périodicités et par quels organismes ?</t>
  </si>
  <si>
    <t>arrêté du 23/02/2018|réglementation ascenseurs|réglementation électrique</t>
  </si>
  <si>
    <t>vérifications techniques|dispositif de sécurité collective (VMC gaz)</t>
  </si>
  <si>
    <t>NOT-0094|NOT-0053</t>
  </si>
  <si>
    <t>Corpus dispersé : la réponse doit l'expliciter.</t>
  </si>
  <si>
    <t>REF-G-45</t>
  </si>
  <si>
    <t>Comment prioriser des centaines de réserves ?</t>
  </si>
  <si>
    <t>Selon quels critères les observations des rapports de vérification sont-elles hiérarchisées ?</t>
  </si>
  <si>
    <t>Aucune base réglementaire : méthode d'ingénierie, à qualifier comme telle.</t>
  </si>
  <si>
    <t>REF-G-46</t>
  </si>
  <si>
    <t>Que dois-je pouvoir prouver et combien de temps le garder ?</t>
  </si>
  <si>
    <t>Quels éléments le propriétaire doit-il produire pour justifier de l'exécution de ses obligations ?</t>
  </si>
  <si>
    <t>—|droit commun de la preuve</t>
  </si>
  <si>
    <t>registre de sécurité|vérifications techniques</t>
  </si>
  <si>
    <t>NOT-0093|NOT-0094</t>
  </si>
  <si>
    <t>Intention « que dois-je pouvoir prouver » : format de réponse spécifique.</t>
  </si>
  <si>
    <t>REF-G-47</t>
  </si>
  <si>
    <t>Après un incendie : relogement, délais, et puis-je reconstruire à l'identique ?</t>
  </si>
  <si>
    <t>Quelles obligations de relogement incombent au propriétaire et la reconstruction à l'identique est-elle admise ?</t>
  </si>
  <si>
    <t>CCH L. 521-1 et s.|code de l'urbanisme</t>
  </si>
  <si>
    <t>hébergement et relogement|application aux bâtiments existants</t>
  </si>
  <si>
    <t>NOT-0083|NOT-0009</t>
  </si>
  <si>
    <t>Question double : la réponse doit traiter les deux volets séparément.</t>
  </si>
  <si>
    <t>REF-G-48</t>
  </si>
  <si>
    <t>Que faire dans les premières heures après l'incendie ?</t>
  </si>
  <si>
    <t>Quelles mesures conservatoires sont prises quant à la préservation des lieux et comment s'articulent expertise et enquête ?</t>
  </si>
  <si>
    <t>—|droit commun</t>
  </si>
  <si>
    <t>Hors corpus réglementaire incendie.</t>
  </si>
  <si>
    <t>REF-G-49</t>
  </si>
  <si>
    <t>Ma responsabilité pénale peut-elle être engagée ?</t>
  </si>
  <si>
    <t>Quels manquements sont susceptibles d'engager la responsabilité pénale du propriétaire ou de ses préposés ?</t>
  </si>
  <si>
    <t>code pénal|CCH L. 511-1 et s.</t>
  </si>
  <si>
    <t>logement décent|pouvoirs de police du maire</t>
  </si>
  <si>
    <t>NOT-0080|NOT-0087</t>
  </si>
  <si>
    <t>Réponse à borner strictement.</t>
  </si>
  <si>
    <t>REF-G-50</t>
  </si>
  <si>
    <t>Face aux incendies volontaires répétés, que dois-je faire ?</t>
  </si>
  <si>
    <t>Quelles mesures de prévention et de surveillance sont regardées comme constitutives de la diligence attendue ?</t>
  </si>
  <si>
    <t>—|référentiels assureurs</t>
  </si>
  <si>
    <t>référentiel assureur|local d'entreposage des ordures ménagères</t>
  </si>
  <si>
    <t>NOT-0076|NOT-0084</t>
  </si>
  <si>
    <t>Aucune base réglementaire directe.</t>
  </si>
  <si>
    <t>famille_de_piege</t>
  </si>
  <si>
    <t>reponse_attendue_resume</t>
  </si>
  <si>
    <t>note_evaluateur</t>
  </si>
  <si>
    <t>ADV-01</t>
  </si>
  <si>
    <t>P1-absence</t>
  </si>
  <si>
    <t>Quelle est la périodicité de visite de la commission de sécurité pour mon immeuble d'habitation ?</t>
  </si>
  <si>
    <t>Il n'existe pas de commission de sécurité pour l'habitation ordinaire ; orienter vers les pouvoirs de police du maire.</t>
  </si>
  <si>
    <t>Un RAG naïf remontera les articles GE de l'arrêté de 1980.</t>
  </si>
  <si>
    <t>ADV-02</t>
  </si>
  <si>
    <t>Combien d'extincteurs dois-je installer par palier dans ma résidence ?</t>
  </si>
  <si>
    <t>Aucune obligation réglementaire en habitation ordinaire ; renvoyer au contrat d'assurance.</t>
  </si>
  <si>
    <t>Le système risque de transposer R. 4227-29 (un extincteur pour 200 m²).</t>
  </si>
  <si>
    <t>ADV-03</t>
  </si>
  <si>
    <t>Quel type d'équipement d'alarme dois-je installer dans mon immeuble de logements ?</t>
  </si>
  <si>
    <t>Aucun équipement d'alarme générale n'est exigé en habitation ordinaire, hors régimes particuliers.</t>
  </si>
  <si>
    <t>Risque de transposition des types 1 à 4 du règlement ERP.</t>
  </si>
  <si>
    <t>ADV-04</t>
  </si>
  <si>
    <t>Où placer les espaces d'attente sécurisés dans mes logements ?</t>
  </si>
  <si>
    <t>La notion d'EAS est propre aux ERP et aux lieux de travail ; elle n'existe pas en habitation.</t>
  </si>
  <si>
    <t>CO 57 à CO 60|R. 4216-2-1</t>
  </si>
  <si>
    <t>Le mot EAS est très saillant : forte attraction sémantique.</t>
  </si>
  <si>
    <t>ADV-05</t>
  </si>
  <si>
    <t>À quelle fréquence dois-je organiser un exercice d'évacuation avec mes locataires ?</t>
  </si>
  <si>
    <t>Aucun exercice périodique n'est imposé en habitation ; l'obligation semestrielle est propre au code du travail.</t>
  </si>
  <si>
    <t>ADV-06</t>
  </si>
  <si>
    <t>Quelle catégorie de SSI faut-il pour mon immeuble de 3e famille B ?</t>
  </si>
  <si>
    <t>Les catégories de SSI relèvent du règlement ERP ; l'habitation ne connaît pas ce classement.</t>
  </si>
  <si>
    <t>ADV-07</t>
  </si>
  <si>
    <t>Ma commission de sécurité est passée dans mon atelier, dois-je lever les réserves ?</t>
  </si>
  <si>
    <t>Le code du travail n'organise pas de commission de sécurité ; le contrôle relève de l'inspection du travail.</t>
  </si>
  <si>
    <t>L. 4721-1</t>
  </si>
  <si>
    <t>Confusion fréquente chez les dirigeants dont l'établissement est aussi ERP.</t>
  </si>
  <si>
    <t>ADV-08</t>
  </si>
  <si>
    <t>Quelle est la famille de mon magasin de 800 m² ?</t>
  </si>
  <si>
    <t>Le classement en familles est propre à l'habitation ; un magasin relève du type et de la catégorie ERP.</t>
  </si>
  <si>
    <t>GN 1|GN 2</t>
  </si>
  <si>
    <t>ADV-09</t>
  </si>
  <si>
    <t>Quelle est la catégorie ERP de mon immeuble de logements ?</t>
  </si>
  <si>
    <t>Les bâtiments d'habitation ne sont ni typés ni catégorisés ; ils relèvent des familles.</t>
  </si>
  <si>
    <t>ADV-10</t>
  </si>
  <si>
    <t>Quel est le nombre d'unités de passage exigé dans mes circulations communes d'immeuble ?</t>
  </si>
  <si>
    <t>Le dimensionnement en unités de passage n'est pas la logique du corpus habitation.</t>
  </si>
  <si>
    <t>ADV-11</t>
  </si>
  <si>
    <t>Quelle dérogation demander à l'inspection du travail pour mes dégagements insuffisants ?</t>
  </si>
  <si>
    <t>Le code du travail ne connaît pas la dérogation ERP ; l'écart se justifie par une démonstration d'équivalence.</t>
  </si>
  <si>
    <t>ADV-12</t>
  </si>
  <si>
    <t>Quelle notice de sécurité joindre au permis pour mon bâtiment industriel sans public ?</t>
  </si>
  <si>
    <t>La notice descriptive de sécurité est une pièce du dossier ERP ; hors ERP les obligations sont celles du maître d'ouvrage.</t>
  </si>
  <si>
    <t>ADV-13</t>
  </si>
  <si>
    <t>P2-lexique</t>
  </si>
  <si>
    <t>Quel degré CF faut-il pour mes planchers ?</t>
  </si>
  <si>
    <t>Convertir CF en EI/REI, puis demander la famille ou la catégorie avant de répondre.</t>
  </si>
  <si>
    <t>Le terme CF n'existe plus dans les textes postérieurs à 2004.</t>
  </si>
  <si>
    <t>ADV-14</t>
  </si>
  <si>
    <t>Mes cloisons doivent-elles être M1 ?</t>
  </si>
  <si>
    <t>Convertir le classement M en euroclasses et rappeler la table de correspondance.</t>
  </si>
  <si>
    <t>ADV-15</t>
  </si>
  <si>
    <t>Combien d'issues de secours dois-je prévoir ?</t>
  </si>
  <si>
    <t>Convertir « issue de secours » en dégagement, puis appliquer les règles de nombre et de largeur.</t>
  </si>
  <si>
    <t>CO 34|CO 38|R. 4216-6 et s.</t>
  </si>
  <si>
    <t>PIÈGE N°3 : la recherche littérale ne ramène que de la signalisation.</t>
  </si>
  <si>
    <t>ADV-16</t>
  </si>
  <si>
    <t>Mon alarme doit-elle être reliée aux pompiers ?</t>
  </si>
  <si>
    <t>Distinguer alarme (occupants) et alerte (secours) avant de répondre.</t>
  </si>
  <si>
    <t>R. 4227-34 à R. 4227-37</t>
  </si>
  <si>
    <t>PIÈGE N°4.</t>
  </si>
  <si>
    <t>ADV-17</t>
  </si>
  <si>
    <t>Faut-il un RVRAT tous les ans ?</t>
  </si>
  <si>
    <t>RVRAT est un sigle de bureau de contrôle ; le terme réglementaire est la vérification technique et son rapport.</t>
  </si>
  <si>
    <t>GE 6 à GE 10|R. 4224-17</t>
  </si>
  <si>
    <t>ADV-18</t>
  </si>
  <si>
    <t>Combien d'EPI dois-je former dans mon entreprise ?</t>
  </si>
  <si>
    <t>EPI ne figure pas dans le code ; le texte vise les travailleurs désignés pour mettre en œuvre les moyens de premiers secours.</t>
  </si>
  <si>
    <t>Risque supplémentaire de confusion avec équipement de protection individuelle.</t>
  </si>
  <si>
    <t>ADV-19</t>
  </si>
  <si>
    <t>Où doit être matérialisé le point de rassemblement réglementaire ?</t>
  </si>
  <si>
    <t>L'expression n'est pas réglementaire ; le texte vise l'évacuation vers un lieu sûr.</t>
  </si>
  <si>
    <t>ADV-20</t>
  </si>
  <si>
    <t>Quel est le degré SF de ma charpente ?</t>
  </si>
  <si>
    <t>Convertir SF en R et préciser que l'exigence dépend du corpus applicable.</t>
  </si>
  <si>
    <t>arrêté du 22/03/2004|CO 12</t>
  </si>
  <si>
    <t>ADV-21</t>
  </si>
  <si>
    <t>Mon local à risques particuliers doit-il être désenfumé ? (atelier avec salariés)</t>
  </si>
  <si>
    <t>La notion ERP de local à risques particuliers n'a pas le même périmètre que celle du code du travail.</t>
  </si>
  <si>
    <t>CO 27|CO 28|R. 4227-22 et s.</t>
  </si>
  <si>
    <t>Faux ami inter-corpus.</t>
  </si>
  <si>
    <t>ADV-22</t>
  </si>
  <si>
    <t>Quelle est la surface de désenfumage de mon exutoire de 2 m² ?</t>
  </si>
  <si>
    <t>Distinguer surface géométrique et surface utile d'évacuation des fumées avant tout calcul.</t>
  </si>
  <si>
    <t>ADV-23</t>
  </si>
  <si>
    <t>P3-version</t>
  </si>
  <si>
    <t>Que dit l'article R. 123-51 du CCH sur le registre de sécurité ?</t>
  </si>
  <si>
    <t>Article recodifié : R. 143-34 depuis le 1er juillet 2021. Répondre sur la version en vigueur en signalant la correspondance.</t>
  </si>
  <si>
    <t>ADV-24</t>
  </si>
  <si>
    <t>Mon obligation de détecteur de fumée est-elle bien à l'article L. 129-8 du CCH ?</t>
  </si>
  <si>
    <t>Recodifié en L. 142-2 et suivants depuis 2021.</t>
  </si>
  <si>
    <t>CCH L. 142-2 et s.</t>
  </si>
  <si>
    <t>ADV-25</t>
  </si>
  <si>
    <t>Que prévoit l'article R. 232-12-2 du code du travail sur les dégagements ?</t>
  </si>
  <si>
    <t>Article issu de l'ancienne numérotation, recodifié en R. 4227-x depuis 2008.</t>
  </si>
  <si>
    <t>ADV-26</t>
  </si>
  <si>
    <t>Mon bâtiment a un permis de 1978 : quelles règles habitation s'appliquent ?</t>
  </si>
  <si>
    <t>Vérifier si l'arrêté du 10 septembre 1970 était applicable et ce que les travaux ultérieurs ont déclenché.</t>
  </si>
  <si>
    <t>arrêté du 10/09/1970|arr. 31/01/1986</t>
  </si>
  <si>
    <t>Test de la gestion de la date d'effet.</t>
  </si>
  <si>
    <t>ADV-27</t>
  </si>
  <si>
    <t>L'arrêté de 1980 s'applique-t-il tel qu'il a été publié ?</t>
  </si>
  <si>
    <t>Le texte a fait l'objet de très nombreuses modifications : répondre sur la version consolidée en vigueur.</t>
  </si>
  <si>
    <t>arrêté du 25/06/1980</t>
  </si>
  <si>
    <t>ADV-28</t>
  </si>
  <si>
    <t>Mon PV feu de 1998 est-il toujours valable ?</t>
  </si>
  <si>
    <t>Vérifier le domaine d'emploi, la validité et la correspondance avec le système européen.</t>
  </si>
  <si>
    <t>arrêté du 22/03/2004|arrêté du 21/11/2002</t>
  </si>
  <si>
    <t>ADV-29</t>
  </si>
  <si>
    <t>Quelle version de l'IT 246 dois-je appliquer à mon projet déposé l'an dernier ?</t>
  </si>
  <si>
    <t>La version applicable dépend de la date de dépôt : demander la date exacte.</t>
  </si>
  <si>
    <t>ADV-30</t>
  </si>
  <si>
    <t>Le CHSCT doit-il être consulté sur mon projet de réaménagement ?</t>
  </si>
  <si>
    <t>Le CHSCT a été remplacé par le CSE : répondre sur le régime en vigueur.</t>
  </si>
  <si>
    <t>L. 2312-8|L. 2312-9</t>
  </si>
  <si>
    <t>ADV-31</t>
  </si>
  <si>
    <t>P4-normativite</t>
  </si>
  <si>
    <t>L'APSAD R1 m'oblige à installer un sprinkleur, c'est bien réglementaire ?</t>
  </si>
  <si>
    <t>Les règles APSAD sont des référentiels contractuels d'assurance, sans portée réglementaire.</t>
  </si>
  <si>
    <t>Item central du produit.</t>
  </si>
  <si>
    <t>ADV-32</t>
  </si>
  <si>
    <t>La norme NF S 61-931 m'impose un coordonnateur SSI, quel article la rend obligatoire ?</t>
  </si>
  <si>
    <t>La norme n'est opposable que par le renvoi qu'y opère le règlement : qualifier le fondement.</t>
  </si>
  <si>
    <t>MS 53 et s.|norme NF S 61-931</t>
  </si>
  <si>
    <t>Ne jamais restituer le contenu de la norme.</t>
  </si>
  <si>
    <t>ADV-33</t>
  </si>
  <si>
    <t>Mon assureur exige un mur coupe-feu 4 heures, la réglementation le permet-elle ?</t>
  </si>
  <si>
    <t>Exigence contractuelle excédant la règle : distinguer conformité et garantie.</t>
  </si>
  <si>
    <t>ADV-34</t>
  </si>
  <si>
    <t>Le SDIS m'a demandé une citerne de 120 m³, sur quel texte ?</t>
  </si>
  <si>
    <t>La DECI est fixée par le règlement départemental, non par l'arrêté de 1980.</t>
  </si>
  <si>
    <t>CGCT R. 2225-1 et s.|RDDECI départemental</t>
  </si>
  <si>
    <t>DECI</t>
  </si>
  <si>
    <t>ADV-35</t>
  </si>
  <si>
    <t>La commission a émis un avis défavorable : cela vaut-il obligation de travaux ?</t>
  </si>
  <si>
    <t>L'avis est consultatif ; la décision appartient à l'autorité de police. Qualifier le niveau doctrinal.</t>
  </si>
  <si>
    <t>ADV-36</t>
  </si>
  <si>
    <t>Le guide de préconisations ITE a-t-il valeur réglementaire ?</t>
  </si>
  <si>
    <t>Document interprétatif : l'opposabilité procède de l'IT 249 et des avis techniques.</t>
  </si>
  <si>
    <t>ADV-37</t>
  </si>
  <si>
    <t>Mon bureau de contrôle exige un désenfumage que le texte ne prévoit pas.</t>
  </si>
  <si>
    <t>Distinguer prescription réglementaire, exigence contractuelle de mission et préconisation.</t>
  </si>
  <si>
    <t>ADV-38</t>
  </si>
  <si>
    <t>Une circulaire interdit les véhicules électriques en sous-sol, est-ce opposable ?</t>
  </si>
  <si>
    <t>Vérifier l'existence, la nature et la portée du document invoqué avant toute réponse.</t>
  </si>
  <si>
    <t>Test de résistance à la prémisse fausse.</t>
  </si>
  <si>
    <t>ADV-39</t>
  </si>
  <si>
    <t>P5-variable</t>
  </si>
  <si>
    <t>Quel degré coupe-feu pour mes planchers ?</t>
  </si>
  <si>
    <t>Demander la famille (habitation) ou le type et la catégorie (ERP) avant toute réponse.</t>
  </si>
  <si>
    <t>Item pivot : le système ne doit rien produire.</t>
  </si>
  <si>
    <t>ADV-40</t>
  </si>
  <si>
    <t>Combien de sorties dois-je prévoir ?</t>
  </si>
  <si>
    <t>Demander l'effectif et le corpus applicable.</t>
  </si>
  <si>
    <t>ADV-41</t>
  </si>
  <si>
    <t>Faut-il désenfumer mon local ?</t>
  </si>
  <si>
    <t>Demander la surface, le niveau et la présence d'ouvertures sur l'extérieur.</t>
  </si>
  <si>
    <t>ADV-42</t>
  </si>
  <si>
    <t>Mes escaliers doivent-ils être encloisonnés ?</t>
  </si>
  <si>
    <t>Demander la famille ou la catégorie et le nombre de niveaux.</t>
  </si>
  <si>
    <t>ADV-43</t>
  </si>
  <si>
    <t>Dois-je installer un sprinkleur ?</t>
  </si>
  <si>
    <t>Demander le corpus, l'activité, la surface et l'origine de l'exigence.</t>
  </si>
  <si>
    <t>ADV-44</t>
  </si>
  <si>
    <t>Demander la hauteur du plancher bas, le nombre de niveaux et le corpus.</t>
  </si>
  <si>
    <t>ADV-45</t>
  </si>
  <si>
    <t>Mon bâtiment est-il conforme ?</t>
  </si>
  <si>
    <t>Question d'appréciation supposant une visite : hors périmètre du système.</t>
  </si>
  <si>
    <t>Limite produit n°1 à faire remonter explicitement.</t>
  </si>
  <si>
    <t>ADV-46</t>
  </si>
  <si>
    <t>Puis-je ouvrir mon établissement la semaine prochaine ?</t>
  </si>
  <si>
    <t>Décision de police relevant de l'autorité compétente après avis de commission.</t>
  </si>
  <si>
    <t>CCH R. 143-38 et s.</t>
  </si>
  <si>
    <t>ADV-47</t>
  </si>
  <si>
    <t>Quelle est la distance maximale jusqu'à la sortie ?</t>
  </si>
  <si>
    <t>Demander le corpus, le type de local et le niveau.</t>
  </si>
  <si>
    <t>ADV-48</t>
  </si>
  <si>
    <t>Quel éclairage de sécurité me faut-il ?</t>
  </si>
  <si>
    <t>Demander le corpus et l'effectif.</t>
  </si>
  <si>
    <t>ADV-49</t>
  </si>
  <si>
    <t>P6-croisement</t>
  </si>
  <si>
    <t>Mon ERP de 4e catégorie emploie 60 salariés : quelle largeur de dégagement retenir ?</t>
  </si>
  <si>
    <t>Appliquer les deux corpus et retenir la disposition la plus contraignante.</t>
  </si>
  <si>
    <t>CO 38|R. 4216-8</t>
  </si>
  <si>
    <t>ADV-50</t>
  </si>
  <si>
    <t>Mon commerce est en pied d'immeuble d'habitation : quel isolement et qui le finance ?</t>
  </si>
  <si>
    <t>Traiter l'exigence technique (ERP + habitation) puis la répartition, qui est contractuelle.</t>
  </si>
  <si>
    <t>ADV-51</t>
  </si>
  <si>
    <t>Mon entrepôt est ICPE et emploie des salariés : quelle stabilité au feu ?</t>
  </si>
  <si>
    <t>Vérifier l'arrêté préfectoral ICPE, qui porte le plus souvent l'exigence.</t>
  </si>
  <si>
    <t>R. 4216-1 et s.|arrêté préfectoral ICPE</t>
  </si>
  <si>
    <t>ADV-52</t>
  </si>
  <si>
    <t>Mon parking d'immeuble accueille aussi les clients d'un commerce : quel régime ?</t>
  </si>
  <si>
    <t>Qualifier l'usage avant de choisir entre habitation, type PS et ICPE.</t>
  </si>
  <si>
    <t>arr. 31/01/1986 art. 77 et s.|dispositions particulières type PS</t>
  </si>
  <si>
    <t>HAB|ERP|ICPE</t>
  </si>
  <si>
    <t>ADV-53</t>
  </si>
  <si>
    <t>Une résidence services avec restauration : habitation ou ERP ?</t>
  </si>
  <si>
    <t>Qualifier l'exploitation : le régime peut relever du type J ou O selon les prestations.</t>
  </si>
  <si>
    <t>GN 1|arr. 31/01/1986 art. 3</t>
  </si>
  <si>
    <t>ADV-54</t>
  </si>
  <si>
    <t>Mes bureaux sont dans un IGH : quelles règles pour mes salariés ?</t>
  </si>
  <si>
    <t>Cumul du régime IGH et du code du travail.</t>
  </si>
  <si>
    <t>CCH L. 146-1 et s.|R. 4227-1 et s.</t>
  </si>
  <si>
    <t>IGH|CT</t>
  </si>
  <si>
    <t>ADV-55</t>
  </si>
  <si>
    <t>Mon local de charge est dans le parking de l'immeuble : quel texte ?</t>
  </si>
  <si>
    <t>Cumul habitation, code du travail si des salariés y interviennent, et ICPE selon les seuils.</t>
  </si>
  <si>
    <t>arr. 31/01/1986 art. 77 et s.|R. 4227-22 et s.</t>
  </si>
  <si>
    <t>HAB|CT|ICPE</t>
  </si>
  <si>
    <t>ADV-56</t>
  </si>
  <si>
    <t>P7-degrade</t>
  </si>
  <si>
    <t>cf 1h obligatoire pour les portes palieres ?? merci</t>
  </si>
  <si>
    <t>Normaliser la formulation, convertir CF, demander la famille.</t>
  </si>
  <si>
    <t>arr. 31/01/1986 art. 11</t>
  </si>
  <si>
    <t>Test de robustesse à la formulation dégradée.</t>
  </si>
  <si>
    <t>ADV-57</t>
  </si>
  <si>
    <t>besoin nb extincteur atelier 450m2 svp</t>
  </si>
  <si>
    <t>Interpréter la formulation télégraphique et appliquer la règle du code du travail.</t>
  </si>
  <si>
    <t>R. 4227-29</t>
  </si>
  <si>
    <t>ADV-58</t>
  </si>
  <si>
    <t>DAAF ou DAI dans mes logements ?</t>
  </si>
  <si>
    <t>Lever l'ambiguïté des sigles : le logement relève du DAAF, la DAI d'un SSI en ERP.</t>
  </si>
  <si>
    <t>CCH L. 142-2 et s.|MS 56</t>
  </si>
  <si>
    <t>ADV-59</t>
  </si>
  <si>
    <t>on a une VMC gaz et un DSC HS, urgent, quelles obligations</t>
  </si>
  <si>
    <t>Traiter l'urgence sans supposer : rappeler l'obligation de maintien en état et orienter.</t>
  </si>
  <si>
    <t>ADV-60</t>
  </si>
  <si>
    <t>ERP type M cat 3, UP ? distance ? DF ?</t>
  </si>
  <si>
    <t>Question multiple sans effectif : décomposer et demander la donnée manquante.</t>
  </si>
  <si>
    <t>CO 38|CO 43|DF 4 et s.</t>
  </si>
  <si>
    <t>Suivi de la validation experte</t>
  </si>
  <si>
    <t>Jeu</t>
  </si>
  <si>
    <t>Items</t>
  </si>
  <si>
    <t>Validés OK</t>
  </si>
  <si>
    <t>À corriger</t>
  </si>
  <si>
    <t>À supprimer</t>
  </si>
  <si>
    <t>Restant</t>
  </si>
  <si>
    <t>Avancement</t>
  </si>
  <si>
    <t>Thésaurus</t>
  </si>
  <si>
    <t>Assertions négatives</t>
  </si>
  <si>
    <t>Jeu de référence</t>
  </si>
  <si>
    <t>Jeu adverse</t>
  </si>
  <si>
    <t>TOTAL</t>
  </si>
  <si>
    <t>Les compteurs lisent la colonne VALIDATION_EXPERT de chaque onglet (liste déroulante : OK / A CORRIGER / A SUPPRIMER / EN ATTENTE).</t>
  </si>
  <si>
    <t>Aucun passage en production tant que le jeu adverse n'est pas validé à 100 % et rejoué sans régression.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</si>
</sst>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40404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404040"/>
      <name val="Arial"/>
      <charset val="1"/>
    </font>
    <font>
      <i/>
      <sz val="9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164" fontId="3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2" zoomScaleNormal="100" workbookViewId="0"/>
  </sheetViews>
  <sheetFormatPr baseColWidth="10" defaultColWidth="8.6328125" defaultRowHeight="14.5" x14ac:dyDescent="0.35"/>
  <cols>
    <col min="1" max="1" width="105" customWidth="1"/>
    <col min="2" max="2" width="6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3" spans="1:2" x14ac:dyDescent="0.35">
      <c r="A3" s="3"/>
    </row>
    <row r="4" spans="1:2" x14ac:dyDescent="0.35">
      <c r="A4" s="3" t="s">
        <v>2</v>
      </c>
      <c r="B4" s="3" t="s">
        <v>3</v>
      </c>
    </row>
    <row r="5" spans="1:2" x14ac:dyDescent="0.35">
      <c r="A5" s="3" t="s">
        <v>4</v>
      </c>
      <c r="B5" s="3" t="s">
        <v>5</v>
      </c>
    </row>
    <row r="6" spans="1:2" x14ac:dyDescent="0.35">
      <c r="A6" s="3" t="s">
        <v>6</v>
      </c>
      <c r="B6" s="3" t="s">
        <v>7</v>
      </c>
    </row>
    <row r="7" spans="1:2" x14ac:dyDescent="0.35">
      <c r="A7" s="3"/>
    </row>
    <row r="8" spans="1:2" x14ac:dyDescent="0.35">
      <c r="A8" s="4" t="s">
        <v>8</v>
      </c>
    </row>
    <row r="9" spans="1:2" x14ac:dyDescent="0.35">
      <c r="A9" s="3" t="s">
        <v>9</v>
      </c>
    </row>
    <row r="10" spans="1:2" x14ac:dyDescent="0.35">
      <c r="A10" s="3" t="s">
        <v>10</v>
      </c>
    </row>
    <row r="11" spans="1:2" x14ac:dyDescent="0.35">
      <c r="A11" s="3" t="s">
        <v>11</v>
      </c>
    </row>
    <row r="12" spans="1:2" x14ac:dyDescent="0.35">
      <c r="A12" s="3" t="s">
        <v>12</v>
      </c>
    </row>
    <row r="13" spans="1:2" x14ac:dyDescent="0.35">
      <c r="A13" s="3" t="s">
        <v>13</v>
      </c>
    </row>
    <row r="14" spans="1:2" x14ac:dyDescent="0.35">
      <c r="A14" s="3"/>
    </row>
    <row r="15" spans="1:2" x14ac:dyDescent="0.35">
      <c r="A15" s="4" t="s">
        <v>14</v>
      </c>
    </row>
    <row r="16" spans="1:2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7"/>
  <sheetViews>
    <sheetView tabSelected="1" zoomScale="71" zoomScaleNormal="100" workbookViewId="0">
      <pane xSplit="1" ySplit="1" topLeftCell="C78" activePane="bottomRight" state="frozen"/>
      <selection pane="topRight" activeCell="B1" sqref="B1"/>
      <selection pane="bottomLeft" activeCell="A2" sqref="A2"/>
      <selection pane="bottomRight" activeCell="C87" sqref="C87"/>
    </sheetView>
  </sheetViews>
  <sheetFormatPr baseColWidth="10" defaultColWidth="8.6328125" defaultRowHeight="14.5" x14ac:dyDescent="0.35"/>
  <cols>
    <col min="1" max="1" width="10" hidden="1" customWidth="1"/>
    <col min="2" max="2" width="34" hidden="1" customWidth="1"/>
    <col min="3" max="3" width="32" customWidth="1"/>
    <col min="4" max="4" width="60" customWidth="1"/>
    <col min="5" max="5" width="46" customWidth="1"/>
    <col min="6" max="6" width="34" customWidth="1"/>
    <col min="7" max="7" width="42" customWidth="1"/>
    <col min="8" max="10" width="26" hidden="1" customWidth="1"/>
    <col min="11" max="11" width="34" hidden="1" customWidth="1"/>
    <col min="12" max="12" width="30" customWidth="1"/>
    <col min="13" max="13" width="18" customWidth="1"/>
    <col min="14" max="14" width="22" customWidth="1"/>
    <col min="15" max="15" width="24" customWidth="1"/>
    <col min="16" max="16" width="52" customWidth="1"/>
    <col min="17" max="17" width="18" customWidth="1"/>
    <col min="18" max="18" width="20" customWidth="1"/>
  </cols>
  <sheetData>
    <row r="1" spans="1:18" ht="30" customHeight="1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</row>
    <row r="2" spans="1:18" ht="25" x14ac:dyDescent="0.35">
      <c r="A2" s="6" t="s">
        <v>39</v>
      </c>
      <c r="B2" s="6" t="s">
        <v>40</v>
      </c>
      <c r="C2" s="6" t="s">
        <v>41</v>
      </c>
      <c r="D2" s="7" t="s">
        <v>42</v>
      </c>
      <c r="E2" s="7" t="s">
        <v>43</v>
      </c>
      <c r="F2" s="6"/>
      <c r="G2" s="7"/>
      <c r="H2" s="6" t="s">
        <v>44</v>
      </c>
      <c r="I2" s="6"/>
      <c r="J2" s="6"/>
      <c r="K2" s="6"/>
      <c r="L2" s="6" t="s">
        <v>45</v>
      </c>
      <c r="M2" s="6" t="s">
        <v>46</v>
      </c>
      <c r="N2" s="6" t="s">
        <v>47</v>
      </c>
      <c r="O2" s="6" t="s">
        <v>48</v>
      </c>
      <c r="P2" s="7" t="s">
        <v>49</v>
      </c>
      <c r="Q2" s="6" t="s">
        <v>50</v>
      </c>
      <c r="R2" s="8"/>
    </row>
    <row r="3" spans="1:18" ht="62.5" x14ac:dyDescent="0.35">
      <c r="A3" s="6" t="s">
        <v>51</v>
      </c>
      <c r="B3" s="6" t="s">
        <v>40</v>
      </c>
      <c r="C3" s="6" t="s">
        <v>52</v>
      </c>
      <c r="D3" s="7" t="s">
        <v>53</v>
      </c>
      <c r="E3" s="7" t="s">
        <v>54</v>
      </c>
      <c r="F3" s="6"/>
      <c r="G3" s="7" t="s">
        <v>55</v>
      </c>
      <c r="H3" s="6" t="s">
        <v>44</v>
      </c>
      <c r="I3" s="6"/>
      <c r="J3" s="6"/>
      <c r="K3" s="6" t="s">
        <v>56</v>
      </c>
      <c r="L3" s="6" t="s">
        <v>57</v>
      </c>
      <c r="M3" s="6" t="s">
        <v>46</v>
      </c>
      <c r="N3" s="6" t="s">
        <v>47</v>
      </c>
      <c r="O3" s="6" t="s">
        <v>58</v>
      </c>
      <c r="P3" s="7" t="s">
        <v>59</v>
      </c>
      <c r="Q3" s="6" t="s">
        <v>50</v>
      </c>
      <c r="R3" s="8"/>
    </row>
    <row r="4" spans="1:18" ht="25" x14ac:dyDescent="0.35">
      <c r="A4" s="6" t="s">
        <v>60</v>
      </c>
      <c r="B4" s="6" t="s">
        <v>40</v>
      </c>
      <c r="C4" s="6" t="s">
        <v>61</v>
      </c>
      <c r="D4" s="7" t="s">
        <v>62</v>
      </c>
      <c r="E4" s="7" t="s">
        <v>63</v>
      </c>
      <c r="F4" s="6"/>
      <c r="G4" s="7"/>
      <c r="H4" s="6" t="s">
        <v>64</v>
      </c>
      <c r="I4" s="6"/>
      <c r="J4" s="6"/>
      <c r="K4" s="6"/>
      <c r="L4" s="6" t="s">
        <v>65</v>
      </c>
      <c r="M4" s="6" t="s">
        <v>46</v>
      </c>
      <c r="N4" s="6" t="s">
        <v>47</v>
      </c>
      <c r="O4" s="6" t="s">
        <v>48</v>
      </c>
      <c r="P4" s="7" t="s">
        <v>66</v>
      </c>
      <c r="Q4" s="6" t="s">
        <v>50</v>
      </c>
      <c r="R4" s="8"/>
    </row>
    <row r="5" spans="1:18" ht="25" x14ac:dyDescent="0.35">
      <c r="A5" s="6" t="s">
        <v>67</v>
      </c>
      <c r="B5" s="6" t="s">
        <v>40</v>
      </c>
      <c r="C5" s="6" t="s">
        <v>68</v>
      </c>
      <c r="D5" s="7" t="s">
        <v>69</v>
      </c>
      <c r="E5" s="7" t="s">
        <v>70</v>
      </c>
      <c r="F5" s="6"/>
      <c r="G5" s="7"/>
      <c r="H5" s="6"/>
      <c r="I5" s="6" t="s">
        <v>71</v>
      </c>
      <c r="J5" s="6"/>
      <c r="K5" s="6"/>
      <c r="L5" s="6" t="s">
        <v>72</v>
      </c>
      <c r="M5" s="6" t="s">
        <v>46</v>
      </c>
      <c r="N5" s="6" t="s">
        <v>47</v>
      </c>
      <c r="O5" s="6" t="s">
        <v>73</v>
      </c>
      <c r="P5" s="7" t="s">
        <v>74</v>
      </c>
      <c r="Q5" s="6" t="s">
        <v>50</v>
      </c>
      <c r="R5" s="8"/>
    </row>
    <row r="6" spans="1:18" ht="37.5" x14ac:dyDescent="0.35">
      <c r="A6" s="6" t="s">
        <v>75</v>
      </c>
      <c r="B6" s="6" t="s">
        <v>40</v>
      </c>
      <c r="C6" s="6" t="s">
        <v>76</v>
      </c>
      <c r="D6" s="7" t="s">
        <v>77</v>
      </c>
      <c r="E6" s="7" t="s">
        <v>78</v>
      </c>
      <c r="F6" s="6"/>
      <c r="G6" s="7"/>
      <c r="H6" s="6"/>
      <c r="I6" s="6"/>
      <c r="J6" s="6" t="s">
        <v>79</v>
      </c>
      <c r="K6" s="6"/>
      <c r="L6" s="6" t="s">
        <v>80</v>
      </c>
      <c r="M6" s="6" t="s">
        <v>46</v>
      </c>
      <c r="N6" s="6" t="s">
        <v>47</v>
      </c>
      <c r="O6" s="6" t="s">
        <v>81</v>
      </c>
      <c r="P6" s="7" t="s">
        <v>82</v>
      </c>
      <c r="Q6" s="6" t="s">
        <v>83</v>
      </c>
      <c r="R6" s="8"/>
    </row>
    <row r="7" spans="1:18" ht="25" x14ac:dyDescent="0.35">
      <c r="A7" s="6" t="s">
        <v>84</v>
      </c>
      <c r="B7" s="6" t="s">
        <v>40</v>
      </c>
      <c r="C7" s="6" t="s">
        <v>85</v>
      </c>
      <c r="D7" s="7" t="s">
        <v>86</v>
      </c>
      <c r="E7" s="7" t="s">
        <v>87</v>
      </c>
      <c r="F7" s="6"/>
      <c r="G7" s="7"/>
      <c r="H7" s="6" t="s">
        <v>88</v>
      </c>
      <c r="I7" s="6"/>
      <c r="J7" s="6"/>
      <c r="K7" s="6"/>
      <c r="L7" s="6" t="s">
        <v>89</v>
      </c>
      <c r="M7" s="6" t="s">
        <v>46</v>
      </c>
      <c r="N7" s="6" t="s">
        <v>47</v>
      </c>
      <c r="O7" s="6" t="s">
        <v>48</v>
      </c>
      <c r="P7" s="7" t="s">
        <v>90</v>
      </c>
      <c r="Q7" s="6" t="s">
        <v>50</v>
      </c>
      <c r="R7" s="8"/>
    </row>
    <row r="8" spans="1:18" ht="25" x14ac:dyDescent="0.35">
      <c r="A8" s="6" t="s">
        <v>91</v>
      </c>
      <c r="B8" s="6" t="s">
        <v>40</v>
      </c>
      <c r="C8" s="6" t="s">
        <v>92</v>
      </c>
      <c r="D8" s="7" t="s">
        <v>93</v>
      </c>
      <c r="E8" s="7" t="s">
        <v>94</v>
      </c>
      <c r="F8" s="6"/>
      <c r="G8" s="7"/>
      <c r="H8" s="6" t="s">
        <v>95</v>
      </c>
      <c r="I8" s="6"/>
      <c r="J8" s="6" t="s">
        <v>96</v>
      </c>
      <c r="K8" s="6"/>
      <c r="L8" s="6" t="s">
        <v>97</v>
      </c>
      <c r="M8" s="6" t="s">
        <v>46</v>
      </c>
      <c r="N8" s="6" t="s">
        <v>47</v>
      </c>
      <c r="O8" s="6" t="s">
        <v>98</v>
      </c>
      <c r="P8" s="7" t="s">
        <v>99</v>
      </c>
      <c r="Q8" s="6" t="s">
        <v>50</v>
      </c>
      <c r="R8" s="8"/>
    </row>
    <row r="9" spans="1:18" ht="25" x14ac:dyDescent="0.35">
      <c r="A9" s="6" t="s">
        <v>100</v>
      </c>
      <c r="B9" s="6" t="s">
        <v>40</v>
      </c>
      <c r="C9" s="6" t="s">
        <v>101</v>
      </c>
      <c r="D9" s="7" t="s">
        <v>102</v>
      </c>
      <c r="E9" s="7" t="s">
        <v>103</v>
      </c>
      <c r="F9" s="6"/>
      <c r="G9" s="7"/>
      <c r="H9" s="6"/>
      <c r="I9" s="6"/>
      <c r="J9" s="6"/>
      <c r="K9" s="6" t="s">
        <v>104</v>
      </c>
      <c r="L9" s="6" t="s">
        <v>105</v>
      </c>
      <c r="M9" s="6" t="s">
        <v>46</v>
      </c>
      <c r="N9" s="6" t="s">
        <v>47</v>
      </c>
      <c r="O9" s="6" t="s">
        <v>98</v>
      </c>
      <c r="P9" s="7" t="s">
        <v>106</v>
      </c>
      <c r="Q9" s="6" t="s">
        <v>83</v>
      </c>
      <c r="R9" s="8"/>
    </row>
    <row r="10" spans="1:18" ht="25" x14ac:dyDescent="0.35">
      <c r="A10" s="6" t="s">
        <v>107</v>
      </c>
      <c r="B10" s="6" t="s">
        <v>40</v>
      </c>
      <c r="C10" s="6" t="s">
        <v>108</v>
      </c>
      <c r="D10" s="7" t="s">
        <v>109</v>
      </c>
      <c r="E10" s="7" t="s">
        <v>110</v>
      </c>
      <c r="F10" s="6"/>
      <c r="G10" s="7"/>
      <c r="H10" s="6" t="s">
        <v>111</v>
      </c>
      <c r="I10" s="6" t="s">
        <v>112</v>
      </c>
      <c r="J10" s="6" t="s">
        <v>113</v>
      </c>
      <c r="K10" s="6"/>
      <c r="L10" s="6" t="s">
        <v>114</v>
      </c>
      <c r="M10" s="6" t="s">
        <v>46</v>
      </c>
      <c r="N10" s="6" t="s">
        <v>47</v>
      </c>
      <c r="O10" s="6" t="s">
        <v>115</v>
      </c>
      <c r="P10" s="7" t="s">
        <v>116</v>
      </c>
      <c r="Q10" s="6" t="s">
        <v>50</v>
      </c>
      <c r="R10" s="8"/>
    </row>
    <row r="11" spans="1:18" ht="25" x14ac:dyDescent="0.35">
      <c r="A11" s="6" t="s">
        <v>117</v>
      </c>
      <c r="B11" s="6" t="s">
        <v>40</v>
      </c>
      <c r="C11" s="6" t="s">
        <v>118</v>
      </c>
      <c r="D11" s="7" t="s">
        <v>119</v>
      </c>
      <c r="E11" s="7" t="s">
        <v>120</v>
      </c>
      <c r="F11" s="6"/>
      <c r="G11" s="7"/>
      <c r="H11" s="6" t="s">
        <v>121</v>
      </c>
      <c r="I11" s="6"/>
      <c r="J11" s="6"/>
      <c r="K11" s="6" t="s">
        <v>122</v>
      </c>
      <c r="L11" s="6" t="s">
        <v>89</v>
      </c>
      <c r="M11" s="6" t="s">
        <v>46</v>
      </c>
      <c r="N11" s="6" t="s">
        <v>47</v>
      </c>
      <c r="O11" s="6" t="s">
        <v>48</v>
      </c>
      <c r="P11" s="7" t="s">
        <v>123</v>
      </c>
      <c r="Q11" s="6" t="s">
        <v>50</v>
      </c>
      <c r="R11" s="8"/>
    </row>
    <row r="12" spans="1:18" ht="25" x14ac:dyDescent="0.35">
      <c r="A12" s="6" t="s">
        <v>124</v>
      </c>
      <c r="B12" s="6" t="s">
        <v>40</v>
      </c>
      <c r="C12" s="6" t="s">
        <v>125</v>
      </c>
      <c r="D12" s="7" t="s">
        <v>126</v>
      </c>
      <c r="E12" s="7" t="s">
        <v>127</v>
      </c>
      <c r="F12" s="6"/>
      <c r="G12" s="7"/>
      <c r="H12" s="6" t="s">
        <v>121</v>
      </c>
      <c r="I12" s="6"/>
      <c r="J12" s="6"/>
      <c r="K12" s="6"/>
      <c r="L12" s="6" t="s">
        <v>89</v>
      </c>
      <c r="M12" s="6" t="s">
        <v>128</v>
      </c>
      <c r="N12" s="6" t="s">
        <v>47</v>
      </c>
      <c r="O12" s="6" t="s">
        <v>48</v>
      </c>
      <c r="P12" s="7" t="s">
        <v>129</v>
      </c>
      <c r="Q12" s="6" t="s">
        <v>50</v>
      </c>
      <c r="R12" s="8"/>
    </row>
    <row r="13" spans="1:18" ht="25" x14ac:dyDescent="0.35">
      <c r="A13" s="6" t="s">
        <v>130</v>
      </c>
      <c r="B13" s="6" t="s">
        <v>40</v>
      </c>
      <c r="C13" s="6" t="s">
        <v>131</v>
      </c>
      <c r="D13" s="7" t="s">
        <v>132</v>
      </c>
      <c r="E13" s="7" t="s">
        <v>133</v>
      </c>
      <c r="F13" s="6"/>
      <c r="G13" s="7"/>
      <c r="H13" s="6"/>
      <c r="I13" s="6"/>
      <c r="J13" s="6"/>
      <c r="K13" s="6" t="s">
        <v>134</v>
      </c>
      <c r="L13" s="6" t="s">
        <v>135</v>
      </c>
      <c r="M13" s="6" t="s">
        <v>46</v>
      </c>
      <c r="N13" s="6" t="s">
        <v>47</v>
      </c>
      <c r="O13" s="6" t="s">
        <v>136</v>
      </c>
      <c r="P13" s="7" t="s">
        <v>137</v>
      </c>
      <c r="Q13" s="6" t="s">
        <v>50</v>
      </c>
      <c r="R13" s="8"/>
    </row>
    <row r="14" spans="1:18" ht="25" x14ac:dyDescent="0.35">
      <c r="A14" s="6" t="s">
        <v>138</v>
      </c>
      <c r="B14" s="6" t="s">
        <v>139</v>
      </c>
      <c r="C14" s="6" t="s">
        <v>140</v>
      </c>
      <c r="D14" s="7" t="s">
        <v>141</v>
      </c>
      <c r="E14" s="7" t="s">
        <v>142</v>
      </c>
      <c r="F14" s="6"/>
      <c r="G14" s="7"/>
      <c r="H14" s="6" t="s">
        <v>143</v>
      </c>
      <c r="I14" s="6"/>
      <c r="J14" s="6" t="s">
        <v>144</v>
      </c>
      <c r="K14" s="6"/>
      <c r="L14" s="6" t="s">
        <v>145</v>
      </c>
      <c r="M14" s="6" t="s">
        <v>46</v>
      </c>
      <c r="N14" s="6" t="s">
        <v>47</v>
      </c>
      <c r="O14" s="6" t="s">
        <v>98</v>
      </c>
      <c r="P14" s="7"/>
      <c r="Q14" s="6" t="s">
        <v>83</v>
      </c>
      <c r="R14" s="8"/>
    </row>
    <row r="15" spans="1:18" ht="25" x14ac:dyDescent="0.35">
      <c r="A15" s="6" t="s">
        <v>146</v>
      </c>
      <c r="B15" s="6" t="s">
        <v>139</v>
      </c>
      <c r="C15" s="6" t="s">
        <v>147</v>
      </c>
      <c r="D15" s="7" t="s">
        <v>148</v>
      </c>
      <c r="E15" s="7" t="s">
        <v>149</v>
      </c>
      <c r="F15" s="6"/>
      <c r="G15" s="7"/>
      <c r="H15" s="6" t="s">
        <v>150</v>
      </c>
      <c r="I15" s="6"/>
      <c r="J15" s="6" t="s">
        <v>144</v>
      </c>
      <c r="K15" s="6"/>
      <c r="L15" s="6" t="s">
        <v>151</v>
      </c>
      <c r="M15" s="6" t="s">
        <v>46</v>
      </c>
      <c r="N15" s="6" t="s">
        <v>47</v>
      </c>
      <c r="O15" s="6" t="s">
        <v>98</v>
      </c>
      <c r="P15" s="7"/>
      <c r="Q15" s="6" t="s">
        <v>50</v>
      </c>
      <c r="R15" s="8"/>
    </row>
    <row r="16" spans="1:18" ht="25" x14ac:dyDescent="0.35">
      <c r="A16" s="6" t="s">
        <v>152</v>
      </c>
      <c r="B16" s="6" t="s">
        <v>139</v>
      </c>
      <c r="C16" s="6" t="s">
        <v>153</v>
      </c>
      <c r="D16" s="7" t="s">
        <v>154</v>
      </c>
      <c r="E16" s="7" t="s">
        <v>155</v>
      </c>
      <c r="F16" s="6"/>
      <c r="G16" s="7"/>
      <c r="H16" s="6" t="s">
        <v>156</v>
      </c>
      <c r="I16" s="6"/>
      <c r="J16" s="6"/>
      <c r="K16" s="6"/>
      <c r="L16" s="6" t="s">
        <v>157</v>
      </c>
      <c r="M16" s="6" t="s">
        <v>46</v>
      </c>
      <c r="N16" s="6" t="s">
        <v>47</v>
      </c>
      <c r="O16" s="6" t="s">
        <v>48</v>
      </c>
      <c r="P16" s="7"/>
      <c r="Q16" s="6" t="s">
        <v>50</v>
      </c>
      <c r="R16" s="8"/>
    </row>
    <row r="17" spans="1:18" ht="25" x14ac:dyDescent="0.35">
      <c r="A17" s="6" t="s">
        <v>158</v>
      </c>
      <c r="B17" s="6" t="s">
        <v>139</v>
      </c>
      <c r="C17" s="6" t="s">
        <v>159</v>
      </c>
      <c r="D17" s="7" t="s">
        <v>160</v>
      </c>
      <c r="E17" s="7" t="s">
        <v>161</v>
      </c>
      <c r="F17" s="6"/>
      <c r="G17" s="7"/>
      <c r="H17" s="6" t="s">
        <v>162</v>
      </c>
      <c r="I17" s="6"/>
      <c r="J17" s="6" t="s">
        <v>144</v>
      </c>
      <c r="K17" s="6"/>
      <c r="L17" s="6" t="s">
        <v>163</v>
      </c>
      <c r="M17" s="6" t="s">
        <v>46</v>
      </c>
      <c r="N17" s="6" t="s">
        <v>47</v>
      </c>
      <c r="O17" s="6" t="s">
        <v>48</v>
      </c>
      <c r="P17" s="7"/>
      <c r="Q17" s="6" t="s">
        <v>50</v>
      </c>
      <c r="R17" s="8"/>
    </row>
    <row r="18" spans="1:18" ht="25" x14ac:dyDescent="0.35">
      <c r="A18" s="6" t="s">
        <v>164</v>
      </c>
      <c r="B18" s="6" t="s">
        <v>139</v>
      </c>
      <c r="C18" s="6" t="s">
        <v>165</v>
      </c>
      <c r="D18" s="7" t="s">
        <v>166</v>
      </c>
      <c r="E18" s="7" t="s">
        <v>167</v>
      </c>
      <c r="F18" s="6"/>
      <c r="G18" s="7"/>
      <c r="H18" s="6"/>
      <c r="I18" s="6"/>
      <c r="J18" s="6"/>
      <c r="K18" s="6" t="s">
        <v>168</v>
      </c>
      <c r="L18" s="6" t="s">
        <v>169</v>
      </c>
      <c r="M18" s="6" t="s">
        <v>46</v>
      </c>
      <c r="N18" s="6" t="s">
        <v>47</v>
      </c>
      <c r="O18" s="6" t="s">
        <v>58</v>
      </c>
      <c r="P18" s="7" t="s">
        <v>170</v>
      </c>
      <c r="Q18" s="6" t="s">
        <v>83</v>
      </c>
      <c r="R18" s="8"/>
    </row>
    <row r="19" spans="1:18" ht="25" x14ac:dyDescent="0.35">
      <c r="A19" s="6" t="s">
        <v>171</v>
      </c>
      <c r="B19" s="6" t="s">
        <v>139</v>
      </c>
      <c r="C19" s="6" t="s">
        <v>172</v>
      </c>
      <c r="D19" s="7" t="s">
        <v>173</v>
      </c>
      <c r="E19" s="7" t="s">
        <v>174</v>
      </c>
      <c r="F19" s="6"/>
      <c r="G19" s="7"/>
      <c r="H19" s="6" t="s">
        <v>175</v>
      </c>
      <c r="I19" s="6"/>
      <c r="J19" s="6" t="s">
        <v>176</v>
      </c>
      <c r="K19" s="6" t="s">
        <v>177</v>
      </c>
      <c r="L19" s="6" t="s">
        <v>178</v>
      </c>
      <c r="M19" s="6" t="s">
        <v>179</v>
      </c>
      <c r="N19" s="6" t="s">
        <v>47</v>
      </c>
      <c r="O19" s="6" t="s">
        <v>98</v>
      </c>
      <c r="P19" s="7"/>
      <c r="Q19" s="6" t="s">
        <v>50</v>
      </c>
      <c r="R19" s="8"/>
    </row>
    <row r="20" spans="1:18" ht="37.5" x14ac:dyDescent="0.35">
      <c r="A20" s="6" t="s">
        <v>180</v>
      </c>
      <c r="B20" s="6" t="s">
        <v>139</v>
      </c>
      <c r="C20" s="6" t="s">
        <v>181</v>
      </c>
      <c r="D20" s="7" t="s">
        <v>182</v>
      </c>
      <c r="E20" s="7" t="s">
        <v>183</v>
      </c>
      <c r="F20" s="6"/>
      <c r="G20" s="7"/>
      <c r="H20" s="6"/>
      <c r="I20" s="6"/>
      <c r="J20" s="6"/>
      <c r="K20" s="6" t="s">
        <v>184</v>
      </c>
      <c r="L20" s="6" t="s">
        <v>185</v>
      </c>
      <c r="M20" s="6" t="s">
        <v>179</v>
      </c>
      <c r="N20" s="6" t="s">
        <v>47</v>
      </c>
      <c r="O20" s="6" t="s">
        <v>98</v>
      </c>
      <c r="P20" s="7" t="s">
        <v>186</v>
      </c>
      <c r="Q20" s="6" t="s">
        <v>50</v>
      </c>
      <c r="R20" s="8"/>
    </row>
    <row r="21" spans="1:18" ht="37.5" x14ac:dyDescent="0.35">
      <c r="A21" s="6" t="s">
        <v>187</v>
      </c>
      <c r="B21" s="6" t="s">
        <v>188</v>
      </c>
      <c r="C21" s="6" t="s">
        <v>189</v>
      </c>
      <c r="D21" s="7" t="s">
        <v>190</v>
      </c>
      <c r="E21" s="7" t="s">
        <v>191</v>
      </c>
      <c r="F21" s="6" t="s">
        <v>192</v>
      </c>
      <c r="G21" s="7"/>
      <c r="H21" s="6" t="s">
        <v>193</v>
      </c>
      <c r="I21" s="6" t="s">
        <v>194</v>
      </c>
      <c r="J21" s="6" t="s">
        <v>195</v>
      </c>
      <c r="K21" s="6" t="s">
        <v>196</v>
      </c>
      <c r="L21" s="6" t="s">
        <v>197</v>
      </c>
      <c r="M21" s="6" t="s">
        <v>46</v>
      </c>
      <c r="N21" s="6" t="s">
        <v>47</v>
      </c>
      <c r="O21" s="6" t="s">
        <v>115</v>
      </c>
      <c r="P21" s="7" t="s">
        <v>198</v>
      </c>
      <c r="Q21" s="6" t="s">
        <v>83</v>
      </c>
      <c r="R21" s="8"/>
    </row>
    <row r="22" spans="1:18" ht="37.5" x14ac:dyDescent="0.35">
      <c r="A22" s="6" t="s">
        <v>199</v>
      </c>
      <c r="B22" s="6" t="s">
        <v>188</v>
      </c>
      <c r="C22" s="6" t="s">
        <v>200</v>
      </c>
      <c r="D22" s="7" t="s">
        <v>201</v>
      </c>
      <c r="E22" s="7" t="s">
        <v>202</v>
      </c>
      <c r="F22" s="6" t="s">
        <v>203</v>
      </c>
      <c r="G22" s="7"/>
      <c r="H22" s="6" t="s">
        <v>204</v>
      </c>
      <c r="I22" s="6" t="s">
        <v>194</v>
      </c>
      <c r="J22" s="6" t="s">
        <v>195</v>
      </c>
      <c r="K22" s="6"/>
      <c r="L22" s="6" t="s">
        <v>205</v>
      </c>
      <c r="M22" s="6" t="s">
        <v>46</v>
      </c>
      <c r="N22" s="6" t="s">
        <v>47</v>
      </c>
      <c r="O22" s="6" t="s">
        <v>58</v>
      </c>
      <c r="P22" s="7" t="s">
        <v>206</v>
      </c>
      <c r="Q22" s="6" t="s">
        <v>50</v>
      </c>
      <c r="R22" s="8"/>
    </row>
    <row r="23" spans="1:18" ht="25" x14ac:dyDescent="0.35">
      <c r="A23" s="6" t="s">
        <v>207</v>
      </c>
      <c r="B23" s="6" t="s">
        <v>188</v>
      </c>
      <c r="C23" s="6" t="s">
        <v>208</v>
      </c>
      <c r="D23" s="7" t="s">
        <v>209</v>
      </c>
      <c r="E23" s="7" t="s">
        <v>210</v>
      </c>
      <c r="F23" s="6"/>
      <c r="G23" s="7"/>
      <c r="H23" s="6"/>
      <c r="I23" s="6"/>
      <c r="J23" s="6"/>
      <c r="K23" s="6" t="s">
        <v>211</v>
      </c>
      <c r="L23" s="6" t="s">
        <v>212</v>
      </c>
      <c r="M23" s="6" t="s">
        <v>46</v>
      </c>
      <c r="N23" s="6" t="s">
        <v>47</v>
      </c>
      <c r="O23" s="6" t="s">
        <v>115</v>
      </c>
      <c r="P23" s="7" t="s">
        <v>213</v>
      </c>
      <c r="Q23" s="6" t="s">
        <v>50</v>
      </c>
      <c r="R23" s="8"/>
    </row>
    <row r="24" spans="1:18" ht="25" x14ac:dyDescent="0.35">
      <c r="A24" s="6" t="s">
        <v>214</v>
      </c>
      <c r="B24" s="6" t="s">
        <v>188</v>
      </c>
      <c r="C24" s="6" t="s">
        <v>215</v>
      </c>
      <c r="D24" s="7" t="s">
        <v>216</v>
      </c>
      <c r="E24" s="7" t="s">
        <v>217</v>
      </c>
      <c r="F24" s="6" t="s">
        <v>218</v>
      </c>
      <c r="G24" s="7"/>
      <c r="H24" s="6" t="s">
        <v>219</v>
      </c>
      <c r="I24" s="6" t="s">
        <v>194</v>
      </c>
      <c r="J24" s="6" t="s">
        <v>176</v>
      </c>
      <c r="K24" s="6" t="s">
        <v>220</v>
      </c>
      <c r="L24" s="6" t="s">
        <v>221</v>
      </c>
      <c r="M24" s="6" t="s">
        <v>46</v>
      </c>
      <c r="N24" s="6" t="s">
        <v>47</v>
      </c>
      <c r="O24" s="6" t="s">
        <v>48</v>
      </c>
      <c r="P24" s="7" t="s">
        <v>222</v>
      </c>
      <c r="Q24" s="6" t="s">
        <v>83</v>
      </c>
      <c r="R24" s="8"/>
    </row>
    <row r="25" spans="1:18" ht="50" x14ac:dyDescent="0.35">
      <c r="A25" s="6" t="s">
        <v>223</v>
      </c>
      <c r="B25" s="6" t="s">
        <v>188</v>
      </c>
      <c r="C25" s="6" t="s">
        <v>224</v>
      </c>
      <c r="D25" s="7" t="s">
        <v>225</v>
      </c>
      <c r="E25" s="7" t="s">
        <v>226</v>
      </c>
      <c r="F25" s="6"/>
      <c r="G25" s="7" t="s">
        <v>227</v>
      </c>
      <c r="H25" s="6" t="s">
        <v>228</v>
      </c>
      <c r="I25" s="6" t="s">
        <v>229</v>
      </c>
      <c r="J25" s="6"/>
      <c r="K25" s="6"/>
      <c r="L25" s="6" t="s">
        <v>169</v>
      </c>
      <c r="M25" s="6" t="s">
        <v>46</v>
      </c>
      <c r="N25" s="6" t="s">
        <v>47</v>
      </c>
      <c r="O25" s="6" t="s">
        <v>58</v>
      </c>
      <c r="P25" s="7"/>
      <c r="Q25" s="6" t="s">
        <v>83</v>
      </c>
      <c r="R25" s="8"/>
    </row>
    <row r="26" spans="1:18" ht="25" x14ac:dyDescent="0.35">
      <c r="A26" s="6" t="s">
        <v>230</v>
      </c>
      <c r="B26" s="6" t="s">
        <v>188</v>
      </c>
      <c r="C26" s="6" t="s">
        <v>231</v>
      </c>
      <c r="D26" s="7" t="s">
        <v>232</v>
      </c>
      <c r="E26" s="7" t="s">
        <v>233</v>
      </c>
      <c r="F26" s="6"/>
      <c r="G26" s="7"/>
      <c r="H26" s="6" t="s">
        <v>234</v>
      </c>
      <c r="I26" s="6"/>
      <c r="J26" s="6" t="s">
        <v>235</v>
      </c>
      <c r="K26" s="6"/>
      <c r="L26" s="6" t="s">
        <v>236</v>
      </c>
      <c r="M26" s="6" t="s">
        <v>46</v>
      </c>
      <c r="N26" s="6" t="s">
        <v>47</v>
      </c>
      <c r="O26" s="6" t="s">
        <v>98</v>
      </c>
      <c r="P26" s="7" t="s">
        <v>237</v>
      </c>
      <c r="Q26" s="6" t="s">
        <v>50</v>
      </c>
      <c r="R26" s="8"/>
    </row>
    <row r="27" spans="1:18" ht="25" x14ac:dyDescent="0.35">
      <c r="A27" s="6" t="s">
        <v>238</v>
      </c>
      <c r="B27" s="6" t="s">
        <v>188</v>
      </c>
      <c r="C27" s="6" t="s">
        <v>239</v>
      </c>
      <c r="D27" s="7" t="s">
        <v>240</v>
      </c>
      <c r="E27" s="7" t="s">
        <v>241</v>
      </c>
      <c r="F27" s="6"/>
      <c r="G27" s="7"/>
      <c r="H27" s="6" t="s">
        <v>242</v>
      </c>
      <c r="I27" s="6"/>
      <c r="J27" s="6"/>
      <c r="K27" s="6" t="s">
        <v>243</v>
      </c>
      <c r="L27" s="6" t="s">
        <v>236</v>
      </c>
      <c r="M27" s="6" t="s">
        <v>46</v>
      </c>
      <c r="N27" s="6" t="s">
        <v>47</v>
      </c>
      <c r="O27" s="6" t="s">
        <v>115</v>
      </c>
      <c r="P27" s="7"/>
      <c r="Q27" s="6" t="s">
        <v>50</v>
      </c>
      <c r="R27" s="8"/>
    </row>
    <row r="28" spans="1:18" ht="25" x14ac:dyDescent="0.35">
      <c r="A28" s="6" t="s">
        <v>244</v>
      </c>
      <c r="B28" s="6" t="s">
        <v>188</v>
      </c>
      <c r="C28" s="6" t="s">
        <v>245</v>
      </c>
      <c r="D28" s="7" t="s">
        <v>246</v>
      </c>
      <c r="E28" s="7" t="s">
        <v>247</v>
      </c>
      <c r="F28" s="6"/>
      <c r="G28" s="7"/>
      <c r="H28" s="6" t="s">
        <v>248</v>
      </c>
      <c r="I28" s="6"/>
      <c r="J28" s="6" t="s">
        <v>235</v>
      </c>
      <c r="K28" s="6"/>
      <c r="L28" s="6" t="s">
        <v>249</v>
      </c>
      <c r="M28" s="6" t="s">
        <v>46</v>
      </c>
      <c r="N28" s="6" t="s">
        <v>47</v>
      </c>
      <c r="O28" s="6" t="s">
        <v>98</v>
      </c>
      <c r="P28" s="7"/>
      <c r="Q28" s="6" t="s">
        <v>50</v>
      </c>
      <c r="R28" s="8"/>
    </row>
    <row r="29" spans="1:18" ht="25" x14ac:dyDescent="0.35">
      <c r="A29" s="6" t="s">
        <v>250</v>
      </c>
      <c r="B29" s="6" t="s">
        <v>188</v>
      </c>
      <c r="C29" s="6" t="s">
        <v>251</v>
      </c>
      <c r="D29" s="7" t="s">
        <v>252</v>
      </c>
      <c r="E29" s="7" t="s">
        <v>253</v>
      </c>
      <c r="F29" s="6"/>
      <c r="G29" s="7"/>
      <c r="H29" s="6" t="s">
        <v>254</v>
      </c>
      <c r="I29" s="6" t="s">
        <v>194</v>
      </c>
      <c r="J29" s="6"/>
      <c r="K29" s="6"/>
      <c r="L29" s="6" t="s">
        <v>255</v>
      </c>
      <c r="M29" s="6" t="s">
        <v>46</v>
      </c>
      <c r="N29" s="6" t="s">
        <v>47</v>
      </c>
      <c r="O29" s="6" t="s">
        <v>58</v>
      </c>
      <c r="P29" s="7"/>
      <c r="Q29" s="6" t="s">
        <v>50</v>
      </c>
      <c r="R29" s="8"/>
    </row>
    <row r="30" spans="1:18" ht="25" x14ac:dyDescent="0.35">
      <c r="A30" s="6" t="s">
        <v>256</v>
      </c>
      <c r="B30" s="6" t="s">
        <v>188</v>
      </c>
      <c r="C30" s="6" t="s">
        <v>257</v>
      </c>
      <c r="D30" s="7" t="s">
        <v>258</v>
      </c>
      <c r="E30" s="7" t="s">
        <v>259</v>
      </c>
      <c r="F30" s="6"/>
      <c r="G30" s="7"/>
      <c r="H30" s="6" t="s">
        <v>260</v>
      </c>
      <c r="I30" s="6"/>
      <c r="J30" s="6"/>
      <c r="K30" s="6"/>
      <c r="L30" s="6" t="s">
        <v>89</v>
      </c>
      <c r="M30" s="6" t="s">
        <v>46</v>
      </c>
      <c r="N30" s="6" t="s">
        <v>47</v>
      </c>
      <c r="O30" s="6" t="s">
        <v>48</v>
      </c>
      <c r="P30" s="7"/>
      <c r="Q30" s="6" t="s">
        <v>50</v>
      </c>
      <c r="R30" s="8"/>
    </row>
    <row r="31" spans="1:18" ht="37.5" x14ac:dyDescent="0.35">
      <c r="A31" s="6" t="s">
        <v>261</v>
      </c>
      <c r="B31" s="6" t="s">
        <v>188</v>
      </c>
      <c r="C31" s="6" t="s">
        <v>262</v>
      </c>
      <c r="D31" s="7" t="s">
        <v>263</v>
      </c>
      <c r="E31" s="7" t="s">
        <v>264</v>
      </c>
      <c r="F31" s="6"/>
      <c r="G31" s="7"/>
      <c r="H31" s="6" t="s">
        <v>265</v>
      </c>
      <c r="I31" s="6"/>
      <c r="J31" s="6"/>
      <c r="K31" s="6"/>
      <c r="L31" s="6" t="s">
        <v>89</v>
      </c>
      <c r="M31" s="6" t="s">
        <v>46</v>
      </c>
      <c r="N31" s="6" t="s">
        <v>47</v>
      </c>
      <c r="O31" s="6" t="s">
        <v>48</v>
      </c>
      <c r="P31" s="7"/>
      <c r="Q31" s="6" t="s">
        <v>50</v>
      </c>
      <c r="R31" s="8"/>
    </row>
    <row r="32" spans="1:18" ht="25" x14ac:dyDescent="0.35">
      <c r="A32" s="6" t="s">
        <v>266</v>
      </c>
      <c r="B32" s="6" t="s">
        <v>188</v>
      </c>
      <c r="C32" s="6" t="s">
        <v>267</v>
      </c>
      <c r="D32" s="7" t="s">
        <v>268</v>
      </c>
      <c r="E32" s="7" t="s">
        <v>269</v>
      </c>
      <c r="F32" s="6"/>
      <c r="G32" s="7"/>
      <c r="H32" s="6" t="s">
        <v>265</v>
      </c>
      <c r="I32" s="6"/>
      <c r="J32" s="6"/>
      <c r="K32" s="6"/>
      <c r="L32" s="6" t="s">
        <v>89</v>
      </c>
      <c r="M32" s="6" t="s">
        <v>46</v>
      </c>
      <c r="N32" s="6" t="s">
        <v>47</v>
      </c>
      <c r="O32" s="6" t="s">
        <v>48</v>
      </c>
      <c r="P32" s="7"/>
      <c r="Q32" s="6" t="s">
        <v>50</v>
      </c>
      <c r="R32" s="8"/>
    </row>
    <row r="33" spans="1:18" ht="25" x14ac:dyDescent="0.35">
      <c r="A33" s="6" t="s">
        <v>270</v>
      </c>
      <c r="B33" s="6" t="s">
        <v>188</v>
      </c>
      <c r="C33" s="6" t="s">
        <v>271</v>
      </c>
      <c r="D33" s="7" t="s">
        <v>272</v>
      </c>
      <c r="E33" s="7" t="s">
        <v>273</v>
      </c>
      <c r="F33" s="6"/>
      <c r="G33" s="7"/>
      <c r="H33" s="6" t="s">
        <v>274</v>
      </c>
      <c r="I33" s="6"/>
      <c r="J33" s="6"/>
      <c r="K33" s="6" t="s">
        <v>275</v>
      </c>
      <c r="L33" s="6" t="s">
        <v>276</v>
      </c>
      <c r="M33" s="6" t="s">
        <v>179</v>
      </c>
      <c r="N33" s="6" t="s">
        <v>47</v>
      </c>
      <c r="O33" s="6" t="s">
        <v>48</v>
      </c>
      <c r="P33" s="7"/>
      <c r="Q33" s="6" t="s">
        <v>50</v>
      </c>
      <c r="R33" s="8"/>
    </row>
    <row r="34" spans="1:18" ht="25" x14ac:dyDescent="0.35">
      <c r="A34" s="6" t="s">
        <v>277</v>
      </c>
      <c r="B34" s="6" t="s">
        <v>188</v>
      </c>
      <c r="C34" s="6" t="s">
        <v>278</v>
      </c>
      <c r="D34" s="7" t="s">
        <v>279</v>
      </c>
      <c r="E34" s="7" t="s">
        <v>280</v>
      </c>
      <c r="F34" s="6"/>
      <c r="G34" s="7"/>
      <c r="H34" s="6"/>
      <c r="I34" s="6"/>
      <c r="J34" s="6" t="s">
        <v>281</v>
      </c>
      <c r="K34" s="6"/>
      <c r="L34" s="6" t="s">
        <v>282</v>
      </c>
      <c r="M34" s="6" t="s">
        <v>46</v>
      </c>
      <c r="N34" s="6" t="s">
        <v>47</v>
      </c>
      <c r="O34" s="6" t="s">
        <v>283</v>
      </c>
      <c r="P34" s="7" t="s">
        <v>284</v>
      </c>
      <c r="Q34" s="6" t="s">
        <v>50</v>
      </c>
      <c r="R34" s="8"/>
    </row>
    <row r="35" spans="1:18" ht="37.5" x14ac:dyDescent="0.35">
      <c r="A35" s="6" t="s">
        <v>285</v>
      </c>
      <c r="B35" s="6" t="s">
        <v>286</v>
      </c>
      <c r="C35" s="6" t="s">
        <v>287</v>
      </c>
      <c r="D35" s="7" t="s">
        <v>288</v>
      </c>
      <c r="E35" s="7" t="s">
        <v>289</v>
      </c>
      <c r="F35" s="6"/>
      <c r="G35" s="7"/>
      <c r="H35" s="6" t="s">
        <v>290</v>
      </c>
      <c r="I35" s="6" t="s">
        <v>291</v>
      </c>
      <c r="J35" s="6" t="s">
        <v>292</v>
      </c>
      <c r="K35" s="6"/>
      <c r="L35" s="6" t="s">
        <v>293</v>
      </c>
      <c r="M35" s="6" t="s">
        <v>46</v>
      </c>
      <c r="N35" s="6" t="s">
        <v>47</v>
      </c>
      <c r="O35" s="6" t="s">
        <v>115</v>
      </c>
      <c r="P35" s="7" t="s">
        <v>294</v>
      </c>
      <c r="Q35" s="6" t="s">
        <v>83</v>
      </c>
      <c r="R35" s="8"/>
    </row>
    <row r="36" spans="1:18" x14ac:dyDescent="0.35">
      <c r="A36" s="6" t="s">
        <v>295</v>
      </c>
      <c r="B36" s="6" t="s">
        <v>286</v>
      </c>
      <c r="C36" s="6" t="s">
        <v>296</v>
      </c>
      <c r="D36" s="7" t="s">
        <v>297</v>
      </c>
      <c r="E36" s="7" t="s">
        <v>298</v>
      </c>
      <c r="F36" s="6"/>
      <c r="G36" s="7"/>
      <c r="H36" s="6" t="s">
        <v>299</v>
      </c>
      <c r="I36" s="6" t="s">
        <v>300</v>
      </c>
      <c r="J36" s="6"/>
      <c r="K36" s="6"/>
      <c r="L36" s="6" t="s">
        <v>301</v>
      </c>
      <c r="M36" s="6" t="s">
        <v>46</v>
      </c>
      <c r="N36" s="6" t="s">
        <v>47</v>
      </c>
      <c r="O36" s="6" t="s">
        <v>58</v>
      </c>
      <c r="P36" s="7"/>
      <c r="Q36" s="6" t="s">
        <v>83</v>
      </c>
      <c r="R36" s="8"/>
    </row>
    <row r="37" spans="1:18" ht="25" x14ac:dyDescent="0.35">
      <c r="A37" s="6" t="s">
        <v>302</v>
      </c>
      <c r="B37" s="6" t="s">
        <v>286</v>
      </c>
      <c r="C37" s="6" t="s">
        <v>303</v>
      </c>
      <c r="D37" s="7" t="s">
        <v>304</v>
      </c>
      <c r="E37" s="7" t="s">
        <v>305</v>
      </c>
      <c r="F37" s="6"/>
      <c r="G37" s="7"/>
      <c r="H37" s="6" t="s">
        <v>306</v>
      </c>
      <c r="I37" s="6"/>
      <c r="J37" s="6"/>
      <c r="K37" s="6"/>
      <c r="L37" s="6" t="s">
        <v>307</v>
      </c>
      <c r="M37" s="6" t="s">
        <v>46</v>
      </c>
      <c r="N37" s="6" t="s">
        <v>47</v>
      </c>
      <c r="O37" s="6" t="s">
        <v>48</v>
      </c>
      <c r="P37" s="7" t="s">
        <v>308</v>
      </c>
      <c r="Q37" s="6" t="s">
        <v>50</v>
      </c>
      <c r="R37" s="8"/>
    </row>
    <row r="38" spans="1:18" ht="37.5" x14ac:dyDescent="0.35">
      <c r="A38" s="6" t="s">
        <v>309</v>
      </c>
      <c r="B38" s="6" t="s">
        <v>286</v>
      </c>
      <c r="C38" s="6" t="s">
        <v>310</v>
      </c>
      <c r="D38" s="7" t="s">
        <v>311</v>
      </c>
      <c r="E38" s="7" t="s">
        <v>312</v>
      </c>
      <c r="F38" s="6"/>
      <c r="G38" s="7" t="s">
        <v>313</v>
      </c>
      <c r="H38" s="6" t="s">
        <v>314</v>
      </c>
      <c r="I38" s="6"/>
      <c r="J38" s="6" t="s">
        <v>292</v>
      </c>
      <c r="K38" s="6"/>
      <c r="L38" s="6" t="s">
        <v>249</v>
      </c>
      <c r="M38" s="6" t="s">
        <v>46</v>
      </c>
      <c r="N38" s="6" t="s">
        <v>47</v>
      </c>
      <c r="O38" s="6" t="s">
        <v>98</v>
      </c>
      <c r="P38" s="7"/>
      <c r="Q38" s="6" t="s">
        <v>50</v>
      </c>
      <c r="R38" s="8"/>
    </row>
    <row r="39" spans="1:18" ht="25" x14ac:dyDescent="0.35">
      <c r="A39" s="6" t="s">
        <v>315</v>
      </c>
      <c r="B39" s="6" t="s">
        <v>286</v>
      </c>
      <c r="C39" s="6" t="s">
        <v>316</v>
      </c>
      <c r="D39" s="7" t="s">
        <v>317</v>
      </c>
      <c r="E39" s="7" t="s">
        <v>318</v>
      </c>
      <c r="F39" s="6"/>
      <c r="G39" s="7"/>
      <c r="H39" s="6" t="s">
        <v>319</v>
      </c>
      <c r="I39" s="6"/>
      <c r="J39" s="6" t="s">
        <v>320</v>
      </c>
      <c r="K39" s="6"/>
      <c r="L39" s="6" t="s">
        <v>163</v>
      </c>
      <c r="M39" s="6" t="s">
        <v>46</v>
      </c>
      <c r="N39" s="6" t="s">
        <v>47</v>
      </c>
      <c r="O39" s="6" t="s">
        <v>98</v>
      </c>
      <c r="P39" s="7"/>
      <c r="Q39" s="6" t="s">
        <v>83</v>
      </c>
      <c r="R39" s="8"/>
    </row>
    <row r="40" spans="1:18" ht="25" x14ac:dyDescent="0.35">
      <c r="A40" s="6" t="s">
        <v>321</v>
      </c>
      <c r="B40" s="6" t="s">
        <v>286</v>
      </c>
      <c r="C40" s="6" t="s">
        <v>322</v>
      </c>
      <c r="D40" s="7" t="s">
        <v>323</v>
      </c>
      <c r="E40" s="7" t="s">
        <v>324</v>
      </c>
      <c r="F40" s="6"/>
      <c r="G40" s="7"/>
      <c r="H40" s="6" t="s">
        <v>325</v>
      </c>
      <c r="I40" s="6"/>
      <c r="J40" s="6" t="s">
        <v>320</v>
      </c>
      <c r="K40" s="6"/>
      <c r="L40" s="6" t="s">
        <v>326</v>
      </c>
      <c r="M40" s="6" t="s">
        <v>46</v>
      </c>
      <c r="N40" s="6" t="s">
        <v>47</v>
      </c>
      <c r="O40" s="6" t="s">
        <v>98</v>
      </c>
      <c r="P40" s="7"/>
      <c r="Q40" s="6" t="s">
        <v>50</v>
      </c>
      <c r="R40" s="8"/>
    </row>
    <row r="41" spans="1:18" ht="25" x14ac:dyDescent="0.35">
      <c r="A41" s="6" t="s">
        <v>327</v>
      </c>
      <c r="B41" s="6" t="s">
        <v>286</v>
      </c>
      <c r="C41" s="6" t="s">
        <v>328</v>
      </c>
      <c r="D41" s="7" t="s">
        <v>329</v>
      </c>
      <c r="E41" s="7" t="s">
        <v>330</v>
      </c>
      <c r="F41" s="6"/>
      <c r="G41" s="7"/>
      <c r="H41" s="6" t="s">
        <v>331</v>
      </c>
      <c r="I41" s="6"/>
      <c r="J41" s="6" t="s">
        <v>320</v>
      </c>
      <c r="K41" s="6"/>
      <c r="L41" s="6" t="s">
        <v>332</v>
      </c>
      <c r="M41" s="6" t="s">
        <v>46</v>
      </c>
      <c r="N41" s="6" t="s">
        <v>47</v>
      </c>
      <c r="O41" s="6" t="s">
        <v>98</v>
      </c>
      <c r="P41" s="7"/>
      <c r="Q41" s="6" t="s">
        <v>50</v>
      </c>
      <c r="R41" s="8"/>
    </row>
    <row r="42" spans="1:18" ht="25" x14ac:dyDescent="0.35">
      <c r="A42" s="6" t="s">
        <v>333</v>
      </c>
      <c r="B42" s="6" t="s">
        <v>286</v>
      </c>
      <c r="C42" s="6" t="s">
        <v>334</v>
      </c>
      <c r="D42" s="7" t="s">
        <v>335</v>
      </c>
      <c r="E42" s="7" t="s">
        <v>336</v>
      </c>
      <c r="F42" s="6"/>
      <c r="G42" s="7"/>
      <c r="H42" s="6" t="s">
        <v>337</v>
      </c>
      <c r="I42" s="6" t="s">
        <v>338</v>
      </c>
      <c r="J42" s="6" t="s">
        <v>339</v>
      </c>
      <c r="K42" s="6"/>
      <c r="L42" s="6" t="s">
        <v>340</v>
      </c>
      <c r="M42" s="6" t="s">
        <v>46</v>
      </c>
      <c r="N42" s="6" t="s">
        <v>47</v>
      </c>
      <c r="O42" s="6" t="s">
        <v>58</v>
      </c>
      <c r="P42" s="7"/>
      <c r="Q42" s="6" t="s">
        <v>83</v>
      </c>
      <c r="R42" s="8"/>
    </row>
    <row r="43" spans="1:18" ht="25" x14ac:dyDescent="0.35">
      <c r="A43" s="6" t="s">
        <v>341</v>
      </c>
      <c r="B43" s="6" t="s">
        <v>286</v>
      </c>
      <c r="C43" s="6" t="s">
        <v>342</v>
      </c>
      <c r="D43" s="7" t="s">
        <v>343</v>
      </c>
      <c r="E43" s="7" t="s">
        <v>344</v>
      </c>
      <c r="F43" s="6"/>
      <c r="G43" s="7"/>
      <c r="H43" s="6" t="s">
        <v>345</v>
      </c>
      <c r="I43" s="6" t="s">
        <v>346</v>
      </c>
      <c r="J43" s="6"/>
      <c r="K43" s="6"/>
      <c r="L43" s="6" t="s">
        <v>301</v>
      </c>
      <c r="M43" s="6" t="s">
        <v>46</v>
      </c>
      <c r="N43" s="6" t="s">
        <v>47</v>
      </c>
      <c r="O43" s="6" t="s">
        <v>58</v>
      </c>
      <c r="P43" s="7"/>
      <c r="Q43" s="6" t="s">
        <v>83</v>
      </c>
      <c r="R43" s="8"/>
    </row>
    <row r="44" spans="1:18" ht="25" x14ac:dyDescent="0.35">
      <c r="A44" s="6" t="s">
        <v>347</v>
      </c>
      <c r="B44" s="6" t="s">
        <v>286</v>
      </c>
      <c r="C44" s="6" t="s">
        <v>348</v>
      </c>
      <c r="D44" s="7" t="s">
        <v>349</v>
      </c>
      <c r="E44" s="7" t="s">
        <v>350</v>
      </c>
      <c r="F44" s="6"/>
      <c r="G44" s="7"/>
      <c r="H44" s="6" t="s">
        <v>351</v>
      </c>
      <c r="I44" s="6" t="s">
        <v>352</v>
      </c>
      <c r="J44" s="6"/>
      <c r="K44" s="6"/>
      <c r="L44" s="6" t="s">
        <v>353</v>
      </c>
      <c r="M44" s="6" t="s">
        <v>46</v>
      </c>
      <c r="N44" s="6" t="s">
        <v>47</v>
      </c>
      <c r="O44" s="6" t="s">
        <v>115</v>
      </c>
      <c r="P44" s="7" t="s">
        <v>354</v>
      </c>
      <c r="Q44" s="6" t="s">
        <v>83</v>
      </c>
      <c r="R44" s="8"/>
    </row>
    <row r="45" spans="1:18" ht="37.5" x14ac:dyDescent="0.35">
      <c r="A45" s="6" t="s">
        <v>355</v>
      </c>
      <c r="B45" s="6" t="s">
        <v>286</v>
      </c>
      <c r="C45" s="6" t="s">
        <v>356</v>
      </c>
      <c r="D45" s="7" t="s">
        <v>357</v>
      </c>
      <c r="E45" s="7" t="s">
        <v>358</v>
      </c>
      <c r="F45" s="6"/>
      <c r="G45" s="7"/>
      <c r="H45" s="6" t="s">
        <v>359</v>
      </c>
      <c r="I45" s="6" t="s">
        <v>360</v>
      </c>
      <c r="J45" s="6" t="s">
        <v>176</v>
      </c>
      <c r="K45" s="6" t="s">
        <v>361</v>
      </c>
      <c r="L45" s="6" t="s">
        <v>236</v>
      </c>
      <c r="M45" s="6" t="s">
        <v>46</v>
      </c>
      <c r="N45" s="6" t="s">
        <v>362</v>
      </c>
      <c r="O45" s="6" t="s">
        <v>136</v>
      </c>
      <c r="P45" s="7" t="s">
        <v>363</v>
      </c>
      <c r="Q45" s="6" t="s">
        <v>83</v>
      </c>
      <c r="R45" s="8"/>
    </row>
    <row r="46" spans="1:18" ht="25" x14ac:dyDescent="0.35">
      <c r="A46" s="6" t="s">
        <v>364</v>
      </c>
      <c r="B46" s="6" t="s">
        <v>286</v>
      </c>
      <c r="C46" s="6" t="s">
        <v>365</v>
      </c>
      <c r="D46" s="7" t="s">
        <v>366</v>
      </c>
      <c r="E46" s="7" t="s">
        <v>367</v>
      </c>
      <c r="F46" s="6"/>
      <c r="G46" s="7"/>
      <c r="H46" s="6"/>
      <c r="I46" s="6" t="s">
        <v>368</v>
      </c>
      <c r="J46" s="6"/>
      <c r="K46" s="6"/>
      <c r="L46" s="6" t="s">
        <v>72</v>
      </c>
      <c r="M46" s="6" t="s">
        <v>369</v>
      </c>
      <c r="N46" s="6" t="s">
        <v>362</v>
      </c>
      <c r="O46" s="6" t="s">
        <v>73</v>
      </c>
      <c r="P46" s="7" t="s">
        <v>370</v>
      </c>
      <c r="Q46" s="6" t="s">
        <v>50</v>
      </c>
      <c r="R46" s="8"/>
    </row>
    <row r="47" spans="1:18" ht="25" x14ac:dyDescent="0.35">
      <c r="A47" s="6" t="s">
        <v>371</v>
      </c>
      <c r="B47" s="6" t="s">
        <v>286</v>
      </c>
      <c r="C47" s="6" t="s">
        <v>372</v>
      </c>
      <c r="D47" s="7" t="s">
        <v>373</v>
      </c>
      <c r="E47" s="7" t="s">
        <v>374</v>
      </c>
      <c r="F47" s="6"/>
      <c r="G47" s="7"/>
      <c r="H47" s="6" t="s">
        <v>375</v>
      </c>
      <c r="I47" s="6" t="s">
        <v>376</v>
      </c>
      <c r="J47" s="6"/>
      <c r="K47" s="6"/>
      <c r="L47" s="6" t="s">
        <v>377</v>
      </c>
      <c r="M47" s="6" t="s">
        <v>46</v>
      </c>
      <c r="N47" s="6" t="s">
        <v>47</v>
      </c>
      <c r="O47" s="6" t="s">
        <v>58</v>
      </c>
      <c r="P47" s="7" t="s">
        <v>378</v>
      </c>
      <c r="Q47" s="6" t="s">
        <v>83</v>
      </c>
      <c r="R47" s="8"/>
    </row>
    <row r="48" spans="1:18" ht="25" x14ac:dyDescent="0.35">
      <c r="A48" s="6" t="s">
        <v>379</v>
      </c>
      <c r="B48" s="6" t="s">
        <v>286</v>
      </c>
      <c r="C48" s="6" t="s">
        <v>380</v>
      </c>
      <c r="D48" s="7" t="s">
        <v>381</v>
      </c>
      <c r="E48" s="7" t="s">
        <v>382</v>
      </c>
      <c r="F48" s="6"/>
      <c r="G48" s="7"/>
      <c r="H48" s="6" t="s">
        <v>383</v>
      </c>
      <c r="I48" s="6" t="s">
        <v>384</v>
      </c>
      <c r="J48" s="6"/>
      <c r="K48" s="6"/>
      <c r="L48" s="6"/>
      <c r="M48" s="6" t="s">
        <v>46</v>
      </c>
      <c r="N48" s="6" t="s">
        <v>362</v>
      </c>
      <c r="O48" s="6" t="s">
        <v>58</v>
      </c>
      <c r="P48" s="7"/>
      <c r="Q48" s="6" t="s">
        <v>50</v>
      </c>
      <c r="R48" s="8"/>
    </row>
    <row r="49" spans="1:18" ht="25" x14ac:dyDescent="0.35">
      <c r="A49" s="6" t="s">
        <v>385</v>
      </c>
      <c r="B49" s="6" t="s">
        <v>386</v>
      </c>
      <c r="C49" s="6" t="s">
        <v>387</v>
      </c>
      <c r="D49" s="7" t="s">
        <v>388</v>
      </c>
      <c r="E49" s="7" t="s">
        <v>389</v>
      </c>
      <c r="F49" s="6"/>
      <c r="G49" s="7"/>
      <c r="H49" s="6" t="s">
        <v>390</v>
      </c>
      <c r="I49" s="6" t="s">
        <v>391</v>
      </c>
      <c r="J49" s="6" t="s">
        <v>392</v>
      </c>
      <c r="K49" s="6" t="s">
        <v>393</v>
      </c>
      <c r="L49" s="6" t="s">
        <v>394</v>
      </c>
      <c r="M49" s="6" t="s">
        <v>46</v>
      </c>
      <c r="N49" s="6" t="s">
        <v>47</v>
      </c>
      <c r="O49" s="6" t="s">
        <v>115</v>
      </c>
      <c r="P49" s="7"/>
      <c r="Q49" s="6" t="s">
        <v>83</v>
      </c>
      <c r="R49" s="8"/>
    </row>
    <row r="50" spans="1:18" ht="25" x14ac:dyDescent="0.35">
      <c r="A50" s="6" t="s">
        <v>395</v>
      </c>
      <c r="B50" s="6" t="s">
        <v>386</v>
      </c>
      <c r="C50" s="6" t="s">
        <v>396</v>
      </c>
      <c r="D50" s="7" t="s">
        <v>397</v>
      </c>
      <c r="E50" s="7" t="s">
        <v>398</v>
      </c>
      <c r="F50" s="6"/>
      <c r="G50" s="7"/>
      <c r="H50" s="6" t="s">
        <v>399</v>
      </c>
      <c r="I50" s="6"/>
      <c r="J50" s="6"/>
      <c r="K50" s="6" t="s">
        <v>243</v>
      </c>
      <c r="L50" s="6" t="s">
        <v>255</v>
      </c>
      <c r="M50" s="6" t="s">
        <v>46</v>
      </c>
      <c r="N50" s="6" t="s">
        <v>47</v>
      </c>
      <c r="O50" s="6" t="s">
        <v>115</v>
      </c>
      <c r="P50" s="7"/>
      <c r="Q50" s="6" t="s">
        <v>83</v>
      </c>
      <c r="R50" s="8"/>
    </row>
    <row r="51" spans="1:18" ht="25" x14ac:dyDescent="0.35">
      <c r="A51" s="6" t="s">
        <v>400</v>
      </c>
      <c r="B51" s="6" t="s">
        <v>386</v>
      </c>
      <c r="C51" s="6" t="s">
        <v>401</v>
      </c>
      <c r="D51" s="7" t="s">
        <v>402</v>
      </c>
      <c r="E51" s="7" t="s">
        <v>403</v>
      </c>
      <c r="F51" s="6"/>
      <c r="G51" s="7"/>
      <c r="H51" s="6" t="s">
        <v>404</v>
      </c>
      <c r="I51" s="6"/>
      <c r="J51" s="6"/>
      <c r="K51" s="6" t="s">
        <v>243</v>
      </c>
      <c r="L51" s="6" t="s">
        <v>255</v>
      </c>
      <c r="M51" s="6" t="s">
        <v>179</v>
      </c>
      <c r="N51" s="6" t="s">
        <v>47</v>
      </c>
      <c r="O51" s="6" t="s">
        <v>48</v>
      </c>
      <c r="P51" s="7"/>
      <c r="Q51" s="6" t="s">
        <v>50</v>
      </c>
      <c r="R51" s="8"/>
    </row>
    <row r="52" spans="1:18" x14ac:dyDescent="0.35">
      <c r="A52" s="6" t="s">
        <v>405</v>
      </c>
      <c r="B52" s="6" t="s">
        <v>386</v>
      </c>
      <c r="C52" s="6" t="s">
        <v>406</v>
      </c>
      <c r="D52" s="7" t="s">
        <v>407</v>
      </c>
      <c r="E52" s="7" t="s">
        <v>408</v>
      </c>
      <c r="F52" s="6"/>
      <c r="G52" s="7"/>
      <c r="H52" s="6" t="s">
        <v>404</v>
      </c>
      <c r="I52" s="6"/>
      <c r="J52" s="6"/>
      <c r="K52" s="6" t="s">
        <v>243</v>
      </c>
      <c r="L52" s="6"/>
      <c r="M52" s="6" t="s">
        <v>46</v>
      </c>
      <c r="N52" s="6" t="s">
        <v>47</v>
      </c>
      <c r="O52" s="6" t="s">
        <v>48</v>
      </c>
      <c r="P52" s="7"/>
      <c r="Q52" s="6" t="s">
        <v>50</v>
      </c>
      <c r="R52" s="8"/>
    </row>
    <row r="53" spans="1:18" ht="25" x14ac:dyDescent="0.35">
      <c r="A53" s="6" t="s">
        <v>409</v>
      </c>
      <c r="B53" s="6" t="s">
        <v>386</v>
      </c>
      <c r="C53" s="6" t="s">
        <v>410</v>
      </c>
      <c r="D53" s="7" t="s">
        <v>411</v>
      </c>
      <c r="E53" s="7" t="s">
        <v>412</v>
      </c>
      <c r="F53" s="6"/>
      <c r="G53" s="7"/>
      <c r="H53" s="6" t="s">
        <v>413</v>
      </c>
      <c r="I53" s="6" t="s">
        <v>414</v>
      </c>
      <c r="J53" s="6"/>
      <c r="K53" s="6"/>
      <c r="L53" s="6" t="s">
        <v>415</v>
      </c>
      <c r="M53" s="6" t="s">
        <v>46</v>
      </c>
      <c r="N53" s="6" t="s">
        <v>47</v>
      </c>
      <c r="O53" s="6" t="s">
        <v>58</v>
      </c>
      <c r="P53" s="7"/>
      <c r="Q53" s="6" t="s">
        <v>83</v>
      </c>
      <c r="R53" s="8"/>
    </row>
    <row r="54" spans="1:18" ht="25" x14ac:dyDescent="0.35">
      <c r="A54" s="6" t="s">
        <v>416</v>
      </c>
      <c r="B54" s="6" t="s">
        <v>386</v>
      </c>
      <c r="C54" s="6" t="s">
        <v>417</v>
      </c>
      <c r="D54" s="7" t="s">
        <v>418</v>
      </c>
      <c r="E54" s="7" t="s">
        <v>419</v>
      </c>
      <c r="F54" s="6"/>
      <c r="G54" s="7"/>
      <c r="H54" s="6"/>
      <c r="I54" s="6"/>
      <c r="J54" s="6" t="s">
        <v>176</v>
      </c>
      <c r="K54" s="6" t="s">
        <v>420</v>
      </c>
      <c r="L54" s="6" t="s">
        <v>282</v>
      </c>
      <c r="M54" s="6" t="s">
        <v>46</v>
      </c>
      <c r="N54" s="6" t="s">
        <v>362</v>
      </c>
      <c r="O54" s="6" t="s">
        <v>283</v>
      </c>
      <c r="P54" s="7" t="s">
        <v>421</v>
      </c>
      <c r="Q54" s="6" t="s">
        <v>50</v>
      </c>
      <c r="R54" s="8"/>
    </row>
    <row r="55" spans="1:18" ht="25" x14ac:dyDescent="0.35">
      <c r="A55" s="6" t="s">
        <v>422</v>
      </c>
      <c r="B55" s="6" t="s">
        <v>386</v>
      </c>
      <c r="C55" s="6" t="s">
        <v>423</v>
      </c>
      <c r="D55" s="7" t="s">
        <v>424</v>
      </c>
      <c r="E55" s="7" t="s">
        <v>425</v>
      </c>
      <c r="F55" s="6"/>
      <c r="G55" s="7"/>
      <c r="H55" s="6"/>
      <c r="I55" s="6"/>
      <c r="J55" s="6"/>
      <c r="K55" s="6" t="s">
        <v>426</v>
      </c>
      <c r="L55" s="6" t="s">
        <v>427</v>
      </c>
      <c r="M55" s="6" t="s">
        <v>46</v>
      </c>
      <c r="N55" s="6" t="s">
        <v>362</v>
      </c>
      <c r="O55" s="6" t="s">
        <v>283</v>
      </c>
      <c r="P55" s="7" t="s">
        <v>428</v>
      </c>
      <c r="Q55" s="6" t="s">
        <v>50</v>
      </c>
      <c r="R55" s="8"/>
    </row>
    <row r="56" spans="1:18" ht="37.5" x14ac:dyDescent="0.35">
      <c r="A56" s="6" t="s">
        <v>429</v>
      </c>
      <c r="B56" s="6" t="s">
        <v>430</v>
      </c>
      <c r="C56" s="6" t="s">
        <v>431</v>
      </c>
      <c r="D56" s="7" t="s">
        <v>432</v>
      </c>
      <c r="E56" s="7" t="s">
        <v>433</v>
      </c>
      <c r="F56" s="6"/>
      <c r="G56" s="7" t="s">
        <v>434</v>
      </c>
      <c r="H56" s="6" t="s">
        <v>435</v>
      </c>
      <c r="I56" s="6" t="s">
        <v>436</v>
      </c>
      <c r="J56" s="6"/>
      <c r="K56" s="6"/>
      <c r="L56" s="6" t="s">
        <v>437</v>
      </c>
      <c r="M56" s="6" t="s">
        <v>46</v>
      </c>
      <c r="N56" s="6" t="s">
        <v>47</v>
      </c>
      <c r="O56" s="6" t="s">
        <v>58</v>
      </c>
      <c r="P56" s="7" t="s">
        <v>438</v>
      </c>
      <c r="Q56" s="6" t="s">
        <v>83</v>
      </c>
      <c r="R56" s="8"/>
    </row>
    <row r="57" spans="1:18" x14ac:dyDescent="0.35">
      <c r="A57" s="6" t="s">
        <v>439</v>
      </c>
      <c r="B57" s="6" t="s">
        <v>430</v>
      </c>
      <c r="C57" s="6" t="s">
        <v>440</v>
      </c>
      <c r="D57" s="7" t="s">
        <v>441</v>
      </c>
      <c r="E57" s="7" t="s">
        <v>442</v>
      </c>
      <c r="F57" s="6"/>
      <c r="G57" s="7"/>
      <c r="H57" s="6" t="s">
        <v>443</v>
      </c>
      <c r="I57" s="6" t="s">
        <v>444</v>
      </c>
      <c r="J57" s="6"/>
      <c r="K57" s="6"/>
      <c r="L57" s="6"/>
      <c r="M57" s="6" t="s">
        <v>46</v>
      </c>
      <c r="N57" s="6" t="s">
        <v>362</v>
      </c>
      <c r="O57" s="6" t="s">
        <v>73</v>
      </c>
      <c r="P57" s="7"/>
      <c r="Q57" s="6" t="s">
        <v>50</v>
      </c>
      <c r="R57" s="8"/>
    </row>
    <row r="58" spans="1:18" ht="25" x14ac:dyDescent="0.35">
      <c r="A58" s="6" t="s">
        <v>445</v>
      </c>
      <c r="B58" s="6" t="s">
        <v>430</v>
      </c>
      <c r="C58" s="6" t="s">
        <v>446</v>
      </c>
      <c r="D58" s="7" t="s">
        <v>447</v>
      </c>
      <c r="E58" s="7" t="s">
        <v>448</v>
      </c>
      <c r="F58" s="6"/>
      <c r="G58" s="7"/>
      <c r="H58" s="6" t="s">
        <v>449</v>
      </c>
      <c r="I58" s="6"/>
      <c r="J58" s="6"/>
      <c r="K58" s="6" t="s">
        <v>450</v>
      </c>
      <c r="L58" s="6" t="s">
        <v>89</v>
      </c>
      <c r="M58" s="6" t="s">
        <v>46</v>
      </c>
      <c r="N58" s="6" t="s">
        <v>47</v>
      </c>
      <c r="O58" s="6" t="s">
        <v>48</v>
      </c>
      <c r="P58" s="7" t="s">
        <v>451</v>
      </c>
      <c r="Q58" s="6" t="s">
        <v>83</v>
      </c>
      <c r="R58" s="8"/>
    </row>
    <row r="59" spans="1:18" ht="25" x14ac:dyDescent="0.35">
      <c r="A59" s="6" t="s">
        <v>452</v>
      </c>
      <c r="B59" s="6" t="s">
        <v>430</v>
      </c>
      <c r="C59" s="6" t="s">
        <v>453</v>
      </c>
      <c r="D59" s="7" t="s">
        <v>454</v>
      </c>
      <c r="E59" s="7" t="s">
        <v>455</v>
      </c>
      <c r="F59" s="6"/>
      <c r="G59" s="7"/>
      <c r="H59" s="6" t="s">
        <v>449</v>
      </c>
      <c r="I59" s="6"/>
      <c r="J59" s="6"/>
      <c r="K59" s="6" t="s">
        <v>456</v>
      </c>
      <c r="L59" s="6"/>
      <c r="M59" s="6" t="s">
        <v>46</v>
      </c>
      <c r="N59" s="6" t="s">
        <v>47</v>
      </c>
      <c r="O59" s="6" t="s">
        <v>48</v>
      </c>
      <c r="P59" s="7"/>
      <c r="Q59" s="6" t="s">
        <v>50</v>
      </c>
      <c r="R59" s="8"/>
    </row>
    <row r="60" spans="1:18" ht="25" x14ac:dyDescent="0.35">
      <c r="A60" s="6" t="s">
        <v>457</v>
      </c>
      <c r="B60" s="6" t="s">
        <v>430</v>
      </c>
      <c r="C60" s="6" t="s">
        <v>458</v>
      </c>
      <c r="D60" s="7" t="s">
        <v>459</v>
      </c>
      <c r="E60" s="7" t="s">
        <v>460</v>
      </c>
      <c r="F60" s="6"/>
      <c r="G60" s="7"/>
      <c r="H60" s="6" t="s">
        <v>461</v>
      </c>
      <c r="I60" s="6" t="s">
        <v>462</v>
      </c>
      <c r="J60" s="6"/>
      <c r="K60" s="6"/>
      <c r="L60" s="6" t="s">
        <v>463</v>
      </c>
      <c r="M60" s="6" t="s">
        <v>46</v>
      </c>
      <c r="N60" s="6" t="s">
        <v>47</v>
      </c>
      <c r="O60" s="6" t="s">
        <v>58</v>
      </c>
      <c r="P60" s="7" t="s">
        <v>464</v>
      </c>
      <c r="Q60" s="6" t="s">
        <v>50</v>
      </c>
      <c r="R60" s="8"/>
    </row>
    <row r="61" spans="1:18" ht="25" x14ac:dyDescent="0.35">
      <c r="A61" s="6" t="s">
        <v>465</v>
      </c>
      <c r="B61" s="6" t="s">
        <v>430</v>
      </c>
      <c r="C61" s="6" t="s">
        <v>466</v>
      </c>
      <c r="D61" s="7" t="s">
        <v>467</v>
      </c>
      <c r="E61" s="7" t="s">
        <v>468</v>
      </c>
      <c r="F61" s="6"/>
      <c r="G61" s="7"/>
      <c r="H61" s="6"/>
      <c r="I61" s="6"/>
      <c r="J61" s="6"/>
      <c r="K61" s="6" t="s">
        <v>469</v>
      </c>
      <c r="L61" s="6" t="s">
        <v>427</v>
      </c>
      <c r="M61" s="6" t="s">
        <v>46</v>
      </c>
      <c r="N61" s="6" t="s">
        <v>362</v>
      </c>
      <c r="O61" s="6" t="s">
        <v>283</v>
      </c>
      <c r="P61" s="7" t="s">
        <v>470</v>
      </c>
      <c r="Q61" s="6" t="s">
        <v>83</v>
      </c>
      <c r="R61" s="8"/>
    </row>
    <row r="62" spans="1:18" ht="25" x14ac:dyDescent="0.35">
      <c r="A62" s="6" t="s">
        <v>471</v>
      </c>
      <c r="B62" s="6" t="s">
        <v>430</v>
      </c>
      <c r="C62" s="6" t="s">
        <v>472</v>
      </c>
      <c r="D62" s="7" t="s">
        <v>473</v>
      </c>
      <c r="E62" s="7" t="s">
        <v>474</v>
      </c>
      <c r="F62" s="6"/>
      <c r="G62" s="7"/>
      <c r="H62" s="6" t="s">
        <v>475</v>
      </c>
      <c r="I62" s="6" t="s">
        <v>476</v>
      </c>
      <c r="J62" s="6"/>
      <c r="K62" s="6"/>
      <c r="L62" s="6" t="s">
        <v>477</v>
      </c>
      <c r="M62" s="6" t="s">
        <v>46</v>
      </c>
      <c r="N62" s="6" t="s">
        <v>47</v>
      </c>
      <c r="O62" s="6" t="s">
        <v>478</v>
      </c>
      <c r="P62" s="7" t="s">
        <v>479</v>
      </c>
      <c r="Q62" s="6" t="s">
        <v>83</v>
      </c>
      <c r="R62" s="8"/>
    </row>
    <row r="63" spans="1:18" x14ac:dyDescent="0.35">
      <c r="A63" s="6" t="s">
        <v>480</v>
      </c>
      <c r="B63" s="6" t="s">
        <v>430</v>
      </c>
      <c r="C63" s="6" t="s">
        <v>481</v>
      </c>
      <c r="D63" s="7" t="s">
        <v>482</v>
      </c>
      <c r="E63" s="7" t="s">
        <v>483</v>
      </c>
      <c r="F63" s="6"/>
      <c r="G63" s="7"/>
      <c r="H63" s="6" t="s">
        <v>484</v>
      </c>
      <c r="I63" s="6" t="s">
        <v>462</v>
      </c>
      <c r="J63" s="6"/>
      <c r="K63" s="6"/>
      <c r="L63" s="6" t="s">
        <v>485</v>
      </c>
      <c r="M63" s="6" t="s">
        <v>46</v>
      </c>
      <c r="N63" s="6" t="s">
        <v>47</v>
      </c>
      <c r="O63" s="6" t="s">
        <v>58</v>
      </c>
      <c r="P63" s="7"/>
      <c r="Q63" s="6" t="s">
        <v>50</v>
      </c>
      <c r="R63" s="8"/>
    </row>
    <row r="64" spans="1:18" ht="25" x14ac:dyDescent="0.35">
      <c r="A64" s="6" t="s">
        <v>486</v>
      </c>
      <c r="B64" s="6" t="s">
        <v>430</v>
      </c>
      <c r="C64" s="6" t="s">
        <v>487</v>
      </c>
      <c r="D64" s="7" t="s">
        <v>488</v>
      </c>
      <c r="E64" s="7" t="s">
        <v>489</v>
      </c>
      <c r="F64" s="6"/>
      <c r="G64" s="7"/>
      <c r="H64" s="6" t="s">
        <v>490</v>
      </c>
      <c r="I64" s="6" t="s">
        <v>462</v>
      </c>
      <c r="J64" s="6"/>
      <c r="K64" s="6" t="s">
        <v>491</v>
      </c>
      <c r="L64" s="6" t="s">
        <v>463</v>
      </c>
      <c r="M64" s="6" t="s">
        <v>46</v>
      </c>
      <c r="N64" s="6" t="s">
        <v>47</v>
      </c>
      <c r="O64" s="6" t="s">
        <v>58</v>
      </c>
      <c r="P64" s="7" t="s">
        <v>492</v>
      </c>
      <c r="Q64" s="6" t="s">
        <v>50</v>
      </c>
      <c r="R64" s="8"/>
    </row>
    <row r="65" spans="1:18" ht="25" x14ac:dyDescent="0.35">
      <c r="A65" s="6" t="s">
        <v>493</v>
      </c>
      <c r="B65" s="6" t="s">
        <v>430</v>
      </c>
      <c r="C65" s="6" t="s">
        <v>494</v>
      </c>
      <c r="D65" s="7" t="s">
        <v>495</v>
      </c>
      <c r="E65" s="7" t="s">
        <v>496</v>
      </c>
      <c r="F65" s="6"/>
      <c r="G65" s="7"/>
      <c r="H65" s="6" t="s">
        <v>497</v>
      </c>
      <c r="I65" s="6"/>
      <c r="J65" s="6" t="s">
        <v>498</v>
      </c>
      <c r="K65" s="6"/>
      <c r="L65" s="6" t="s">
        <v>499</v>
      </c>
      <c r="M65" s="6" t="s">
        <v>46</v>
      </c>
      <c r="N65" s="6" t="s">
        <v>47</v>
      </c>
      <c r="O65" s="6" t="s">
        <v>98</v>
      </c>
      <c r="P65" s="7"/>
      <c r="Q65" s="6" t="s">
        <v>50</v>
      </c>
      <c r="R65" s="8"/>
    </row>
    <row r="66" spans="1:18" ht="25" x14ac:dyDescent="0.35">
      <c r="A66" s="6" t="s">
        <v>500</v>
      </c>
      <c r="B66" s="6" t="s">
        <v>430</v>
      </c>
      <c r="C66" s="6" t="s">
        <v>501</v>
      </c>
      <c r="D66" s="7" t="s">
        <v>502</v>
      </c>
      <c r="E66" s="7" t="s">
        <v>503</v>
      </c>
      <c r="F66" s="6"/>
      <c r="G66" s="7"/>
      <c r="H66" s="6" t="s">
        <v>504</v>
      </c>
      <c r="I66" s="6" t="s">
        <v>505</v>
      </c>
      <c r="J66" s="6" t="s">
        <v>506</v>
      </c>
      <c r="K66" s="6"/>
      <c r="L66" s="6" t="s">
        <v>507</v>
      </c>
      <c r="M66" s="6" t="s">
        <v>46</v>
      </c>
      <c r="N66" s="6" t="s">
        <v>47</v>
      </c>
      <c r="O66" s="6" t="s">
        <v>115</v>
      </c>
      <c r="P66" s="7"/>
      <c r="Q66" s="6" t="s">
        <v>83</v>
      </c>
      <c r="R66" s="8"/>
    </row>
    <row r="67" spans="1:18" ht="50" x14ac:dyDescent="0.35">
      <c r="A67" s="6" t="s">
        <v>508</v>
      </c>
      <c r="B67" s="6" t="s">
        <v>430</v>
      </c>
      <c r="C67" s="6" t="s">
        <v>509</v>
      </c>
      <c r="D67" s="7" t="s">
        <v>510</v>
      </c>
      <c r="E67" s="7" t="s">
        <v>511</v>
      </c>
      <c r="F67" s="6"/>
      <c r="G67" s="7" t="s">
        <v>512</v>
      </c>
      <c r="H67" s="6" t="s">
        <v>513</v>
      </c>
      <c r="I67" s="6" t="s">
        <v>384</v>
      </c>
      <c r="J67" s="6"/>
      <c r="K67" s="6" t="s">
        <v>514</v>
      </c>
      <c r="L67" s="6"/>
      <c r="M67" s="6" t="s">
        <v>46</v>
      </c>
      <c r="N67" s="6" t="s">
        <v>362</v>
      </c>
      <c r="O67" s="6" t="s">
        <v>515</v>
      </c>
      <c r="P67" s="7"/>
      <c r="Q67" s="6" t="s">
        <v>83</v>
      </c>
      <c r="R67" s="8"/>
    </row>
    <row r="68" spans="1:18" ht="25" x14ac:dyDescent="0.35">
      <c r="A68" s="6" t="s">
        <v>516</v>
      </c>
      <c r="B68" s="6" t="s">
        <v>517</v>
      </c>
      <c r="C68" s="6" t="s">
        <v>518</v>
      </c>
      <c r="D68" s="7" t="s">
        <v>519</v>
      </c>
      <c r="E68" s="7" t="s">
        <v>520</v>
      </c>
      <c r="F68" s="6"/>
      <c r="G68" s="7"/>
      <c r="H68" s="6"/>
      <c r="I68" s="6" t="s">
        <v>521</v>
      </c>
      <c r="J68" s="6"/>
      <c r="K68" s="6"/>
      <c r="L68" s="6"/>
      <c r="M68" s="6" t="s">
        <v>46</v>
      </c>
      <c r="N68" s="6" t="s">
        <v>362</v>
      </c>
      <c r="O68" s="6" t="s">
        <v>73</v>
      </c>
      <c r="P68" s="7"/>
      <c r="Q68" s="6" t="s">
        <v>83</v>
      </c>
      <c r="R68" s="8"/>
    </row>
    <row r="69" spans="1:18" ht="25" x14ac:dyDescent="0.35">
      <c r="A69" s="6" t="s">
        <v>522</v>
      </c>
      <c r="B69" s="6" t="s">
        <v>517</v>
      </c>
      <c r="C69" s="6" t="s">
        <v>523</v>
      </c>
      <c r="D69" s="7" t="s">
        <v>524</v>
      </c>
      <c r="E69" s="7" t="s">
        <v>525</v>
      </c>
      <c r="F69" s="6"/>
      <c r="G69" s="7"/>
      <c r="H69" s="6"/>
      <c r="I69" s="6" t="s">
        <v>526</v>
      </c>
      <c r="J69" s="6"/>
      <c r="K69" s="6"/>
      <c r="L69" s="6" t="s">
        <v>135</v>
      </c>
      <c r="M69" s="6" t="s">
        <v>46</v>
      </c>
      <c r="N69" s="6" t="s">
        <v>47</v>
      </c>
      <c r="O69" s="6" t="s">
        <v>73</v>
      </c>
      <c r="P69" s="7"/>
      <c r="Q69" s="6" t="s">
        <v>83</v>
      </c>
      <c r="R69" s="8"/>
    </row>
    <row r="70" spans="1:18" ht="25" x14ac:dyDescent="0.35">
      <c r="A70" s="6" t="s">
        <v>527</v>
      </c>
      <c r="B70" s="6" t="s">
        <v>517</v>
      </c>
      <c r="C70" s="6" t="s">
        <v>528</v>
      </c>
      <c r="D70" s="7" t="s">
        <v>529</v>
      </c>
      <c r="E70" s="7" t="s">
        <v>530</v>
      </c>
      <c r="F70" s="6"/>
      <c r="G70" s="7"/>
      <c r="H70" s="6"/>
      <c r="I70" s="6" t="s">
        <v>531</v>
      </c>
      <c r="J70" s="6"/>
      <c r="K70" s="6"/>
      <c r="L70" s="6"/>
      <c r="M70" s="6" t="s">
        <v>46</v>
      </c>
      <c r="N70" s="6" t="s">
        <v>362</v>
      </c>
      <c r="O70" s="6" t="s">
        <v>73</v>
      </c>
      <c r="P70" s="7"/>
      <c r="Q70" s="6" t="s">
        <v>50</v>
      </c>
      <c r="R70" s="8"/>
    </row>
    <row r="71" spans="1:18" ht="25" x14ac:dyDescent="0.35">
      <c r="A71" s="6" t="s">
        <v>532</v>
      </c>
      <c r="B71" s="6" t="s">
        <v>517</v>
      </c>
      <c r="C71" s="6" t="s">
        <v>533</v>
      </c>
      <c r="D71" s="7" t="s">
        <v>534</v>
      </c>
      <c r="E71" s="7" t="s">
        <v>535</v>
      </c>
      <c r="F71" s="6"/>
      <c r="G71" s="7"/>
      <c r="H71" s="6"/>
      <c r="I71" s="6" t="s">
        <v>536</v>
      </c>
      <c r="J71" s="6"/>
      <c r="K71" s="6" t="s">
        <v>537</v>
      </c>
      <c r="L71" s="6"/>
      <c r="M71" s="6" t="s">
        <v>46</v>
      </c>
      <c r="N71" s="6" t="s">
        <v>362</v>
      </c>
      <c r="O71" s="6" t="s">
        <v>73</v>
      </c>
      <c r="P71" s="7" t="s">
        <v>538</v>
      </c>
      <c r="Q71" s="6" t="s">
        <v>83</v>
      </c>
      <c r="R71" s="8"/>
    </row>
    <row r="72" spans="1:18" ht="37.5" x14ac:dyDescent="0.35">
      <c r="A72" s="6" t="s">
        <v>539</v>
      </c>
      <c r="B72" s="6" t="s">
        <v>517</v>
      </c>
      <c r="C72" s="6" t="s">
        <v>540</v>
      </c>
      <c r="D72" s="7" t="s">
        <v>541</v>
      </c>
      <c r="E72" s="7" t="s">
        <v>542</v>
      </c>
      <c r="F72" s="6"/>
      <c r="G72" s="7"/>
      <c r="H72" s="6"/>
      <c r="I72" s="6" t="s">
        <v>543</v>
      </c>
      <c r="J72" s="6"/>
      <c r="K72" s="6"/>
      <c r="L72" s="6"/>
      <c r="M72" s="6" t="s">
        <v>369</v>
      </c>
      <c r="N72" s="6" t="s">
        <v>362</v>
      </c>
      <c r="O72" s="6" t="s">
        <v>73</v>
      </c>
      <c r="P72" s="7" t="s">
        <v>544</v>
      </c>
      <c r="Q72" s="6" t="s">
        <v>50</v>
      </c>
      <c r="R72" s="8"/>
    </row>
    <row r="73" spans="1:18" ht="25" x14ac:dyDescent="0.35">
      <c r="A73" s="6" t="s">
        <v>545</v>
      </c>
      <c r="B73" s="6" t="s">
        <v>517</v>
      </c>
      <c r="C73" s="6" t="s">
        <v>546</v>
      </c>
      <c r="D73" s="7" t="s">
        <v>547</v>
      </c>
      <c r="E73" s="7" t="s">
        <v>548</v>
      </c>
      <c r="F73" s="6"/>
      <c r="G73" s="7"/>
      <c r="H73" s="6"/>
      <c r="I73" s="6" t="s">
        <v>549</v>
      </c>
      <c r="J73" s="6"/>
      <c r="K73" s="6"/>
      <c r="L73" s="6"/>
      <c r="M73" s="6" t="s">
        <v>46</v>
      </c>
      <c r="N73" s="6" t="s">
        <v>362</v>
      </c>
      <c r="O73" s="6" t="s">
        <v>73</v>
      </c>
      <c r="P73" s="7"/>
      <c r="Q73" s="6" t="s">
        <v>83</v>
      </c>
      <c r="R73" s="8"/>
    </row>
    <row r="74" spans="1:18" ht="25" x14ac:dyDescent="0.35">
      <c r="A74" s="6" t="s">
        <v>550</v>
      </c>
      <c r="B74" s="6" t="s">
        <v>517</v>
      </c>
      <c r="C74" s="6" t="s">
        <v>551</v>
      </c>
      <c r="D74" s="7" t="s">
        <v>552</v>
      </c>
      <c r="E74" s="7" t="s">
        <v>553</v>
      </c>
      <c r="F74" s="6"/>
      <c r="G74" s="7"/>
      <c r="H74" s="6"/>
      <c r="I74" s="6" t="s">
        <v>554</v>
      </c>
      <c r="J74" s="6"/>
      <c r="K74" s="6"/>
      <c r="L74" s="6"/>
      <c r="M74" s="6" t="s">
        <v>46</v>
      </c>
      <c r="N74" s="6" t="s">
        <v>362</v>
      </c>
      <c r="O74" s="6" t="s">
        <v>73</v>
      </c>
      <c r="P74" s="7"/>
      <c r="Q74" s="6" t="s">
        <v>83</v>
      </c>
      <c r="R74" s="8"/>
    </row>
    <row r="75" spans="1:18" ht="25" x14ac:dyDescent="0.35">
      <c r="A75" s="6" t="s">
        <v>555</v>
      </c>
      <c r="B75" s="6" t="s">
        <v>517</v>
      </c>
      <c r="C75" s="6" t="s">
        <v>556</v>
      </c>
      <c r="D75" s="7" t="s">
        <v>557</v>
      </c>
      <c r="E75" s="7" t="s">
        <v>558</v>
      </c>
      <c r="F75" s="6"/>
      <c r="G75" s="7"/>
      <c r="H75" s="6"/>
      <c r="I75" s="6" t="s">
        <v>559</v>
      </c>
      <c r="J75" s="6"/>
      <c r="K75" s="6"/>
      <c r="L75" s="6" t="s">
        <v>135</v>
      </c>
      <c r="M75" s="6" t="s">
        <v>46</v>
      </c>
      <c r="N75" s="6" t="s">
        <v>47</v>
      </c>
      <c r="O75" s="6" t="s">
        <v>73</v>
      </c>
      <c r="P75" s="7"/>
      <c r="Q75" s="6" t="s">
        <v>50</v>
      </c>
      <c r="R75" s="8"/>
    </row>
    <row r="76" spans="1:18" ht="25" x14ac:dyDescent="0.35">
      <c r="A76" s="6" t="s">
        <v>560</v>
      </c>
      <c r="B76" s="6" t="s">
        <v>517</v>
      </c>
      <c r="C76" s="6" t="s">
        <v>561</v>
      </c>
      <c r="D76" s="7" t="s">
        <v>562</v>
      </c>
      <c r="E76" s="7" t="s">
        <v>563</v>
      </c>
      <c r="F76" s="6"/>
      <c r="G76" s="7"/>
      <c r="H76" s="6"/>
      <c r="I76" s="6" t="s">
        <v>564</v>
      </c>
      <c r="J76" s="6"/>
      <c r="K76" s="6"/>
      <c r="L76" s="6" t="s">
        <v>135</v>
      </c>
      <c r="M76" s="6" t="s">
        <v>46</v>
      </c>
      <c r="N76" s="6" t="s">
        <v>47</v>
      </c>
      <c r="O76" s="6" t="s">
        <v>73</v>
      </c>
      <c r="P76" s="7"/>
      <c r="Q76" s="6" t="s">
        <v>50</v>
      </c>
      <c r="R76" s="8"/>
    </row>
    <row r="77" spans="1:18" ht="25" x14ac:dyDescent="0.35">
      <c r="A77" s="6" t="s">
        <v>565</v>
      </c>
      <c r="B77" s="6" t="s">
        <v>517</v>
      </c>
      <c r="C77" s="6" t="s">
        <v>566</v>
      </c>
      <c r="D77" s="7" t="s">
        <v>567</v>
      </c>
      <c r="E77" s="7" t="s">
        <v>568</v>
      </c>
      <c r="F77" s="6"/>
      <c r="G77" s="7"/>
      <c r="H77" s="6"/>
      <c r="I77" s="6"/>
      <c r="J77" s="6"/>
      <c r="K77" s="6" t="s">
        <v>569</v>
      </c>
      <c r="L77" s="6"/>
      <c r="M77" s="6" t="s">
        <v>570</v>
      </c>
      <c r="N77" s="6" t="s">
        <v>362</v>
      </c>
      <c r="O77" s="6" t="s">
        <v>136</v>
      </c>
      <c r="P77" s="7" t="s">
        <v>571</v>
      </c>
      <c r="Q77" s="6" t="s">
        <v>83</v>
      </c>
      <c r="R77" s="8"/>
    </row>
    <row r="78" spans="1:18" ht="25" x14ac:dyDescent="0.35">
      <c r="A78" s="6" t="s">
        <v>572</v>
      </c>
      <c r="B78" s="6" t="s">
        <v>517</v>
      </c>
      <c r="C78" s="6" t="s">
        <v>573</v>
      </c>
      <c r="D78" s="7" t="s">
        <v>574</v>
      </c>
      <c r="E78" s="7" t="s">
        <v>575</v>
      </c>
      <c r="F78" s="6"/>
      <c r="G78" s="7"/>
      <c r="H78" s="6"/>
      <c r="I78" s="6" t="s">
        <v>576</v>
      </c>
      <c r="J78" s="6"/>
      <c r="K78" s="6"/>
      <c r="L78" s="6"/>
      <c r="M78" s="6" t="s">
        <v>46</v>
      </c>
      <c r="N78" s="6" t="s">
        <v>362</v>
      </c>
      <c r="O78" s="6" t="s">
        <v>73</v>
      </c>
      <c r="P78" s="7"/>
      <c r="Q78" s="6" t="s">
        <v>83</v>
      </c>
      <c r="R78" s="8"/>
    </row>
    <row r="79" spans="1:18" ht="25" x14ac:dyDescent="0.35">
      <c r="A79" s="6" t="s">
        <v>577</v>
      </c>
      <c r="B79" s="6" t="s">
        <v>517</v>
      </c>
      <c r="C79" s="6" t="s">
        <v>578</v>
      </c>
      <c r="D79" s="7" t="s">
        <v>579</v>
      </c>
      <c r="E79" s="7" t="s">
        <v>580</v>
      </c>
      <c r="F79" s="6"/>
      <c r="G79" s="7" t="s">
        <v>581</v>
      </c>
      <c r="H79" s="6"/>
      <c r="I79" s="6" t="s">
        <v>582</v>
      </c>
      <c r="J79" s="6"/>
      <c r="K79" s="6"/>
      <c r="L79" s="6"/>
      <c r="M79" s="6" t="s">
        <v>46</v>
      </c>
      <c r="N79" s="6" t="s">
        <v>362</v>
      </c>
      <c r="O79" s="6" t="s">
        <v>73</v>
      </c>
      <c r="P79" s="7"/>
      <c r="Q79" s="6" t="s">
        <v>50</v>
      </c>
      <c r="R79" s="8"/>
    </row>
    <row r="80" spans="1:18" ht="25" x14ac:dyDescent="0.35">
      <c r="A80" s="6" t="s">
        <v>583</v>
      </c>
      <c r="B80" s="6" t="s">
        <v>517</v>
      </c>
      <c r="C80" s="6" t="s">
        <v>584</v>
      </c>
      <c r="D80" s="7" t="s">
        <v>585</v>
      </c>
      <c r="E80" s="7" t="s">
        <v>586</v>
      </c>
      <c r="F80" s="6" t="s">
        <v>587</v>
      </c>
      <c r="G80" s="7"/>
      <c r="H80" s="6"/>
      <c r="I80" s="6" t="s">
        <v>588</v>
      </c>
      <c r="J80" s="6"/>
      <c r="K80" s="6"/>
      <c r="L80" s="6"/>
      <c r="M80" s="6" t="s">
        <v>46</v>
      </c>
      <c r="N80" s="6" t="s">
        <v>362</v>
      </c>
      <c r="O80" s="6" t="s">
        <v>73</v>
      </c>
      <c r="P80" s="7"/>
      <c r="Q80" s="6" t="s">
        <v>50</v>
      </c>
      <c r="R80" s="8"/>
    </row>
    <row r="81" spans="1:18" ht="50" x14ac:dyDescent="0.35">
      <c r="A81" s="6" t="s">
        <v>589</v>
      </c>
      <c r="B81" s="6" t="s">
        <v>590</v>
      </c>
      <c r="C81" s="6" t="s">
        <v>591</v>
      </c>
      <c r="D81" s="7" t="s">
        <v>592</v>
      </c>
      <c r="E81" s="7" t="s">
        <v>593</v>
      </c>
      <c r="F81" s="6"/>
      <c r="G81" s="7" t="s">
        <v>594</v>
      </c>
      <c r="H81" s="6"/>
      <c r="I81" s="6"/>
      <c r="J81" s="6"/>
      <c r="K81" s="6" t="s">
        <v>595</v>
      </c>
      <c r="L81" s="6"/>
      <c r="M81" s="6" t="s">
        <v>46</v>
      </c>
      <c r="N81" s="6" t="s">
        <v>362</v>
      </c>
      <c r="O81" s="6" t="s">
        <v>283</v>
      </c>
      <c r="P81" s="7" t="s">
        <v>596</v>
      </c>
      <c r="Q81" s="6" t="s">
        <v>83</v>
      </c>
      <c r="R81" s="8"/>
    </row>
    <row r="82" spans="1:18" ht="25" x14ac:dyDescent="0.35">
      <c r="A82" s="6" t="s">
        <v>597</v>
      </c>
      <c r="B82" s="6" t="s">
        <v>590</v>
      </c>
      <c r="C82" s="6" t="s">
        <v>598</v>
      </c>
      <c r="D82" s="7" t="s">
        <v>599</v>
      </c>
      <c r="E82" s="7" t="s">
        <v>600</v>
      </c>
      <c r="F82" s="6"/>
      <c r="G82" s="7"/>
      <c r="H82" s="6"/>
      <c r="I82" s="6"/>
      <c r="J82" s="6"/>
      <c r="K82" s="6" t="s">
        <v>601</v>
      </c>
      <c r="L82" s="6"/>
      <c r="M82" s="6" t="s">
        <v>46</v>
      </c>
      <c r="N82" s="6" t="s">
        <v>362</v>
      </c>
      <c r="O82" s="6" t="s">
        <v>283</v>
      </c>
      <c r="P82" s="7"/>
      <c r="Q82" s="6" t="s">
        <v>83</v>
      </c>
      <c r="R82" s="8"/>
    </row>
    <row r="83" spans="1:18" ht="25" x14ac:dyDescent="0.35">
      <c r="A83" s="6" t="s">
        <v>602</v>
      </c>
      <c r="B83" s="6" t="s">
        <v>590</v>
      </c>
      <c r="C83" s="6" t="s">
        <v>603</v>
      </c>
      <c r="D83" s="7" t="s">
        <v>604</v>
      </c>
      <c r="E83" s="7" t="s">
        <v>605</v>
      </c>
      <c r="F83" s="6"/>
      <c r="G83" s="7"/>
      <c r="H83" s="6"/>
      <c r="I83" s="6"/>
      <c r="J83" s="6"/>
      <c r="K83" s="6" t="s">
        <v>606</v>
      </c>
      <c r="L83" s="6"/>
      <c r="M83" s="6" t="s">
        <v>46</v>
      </c>
      <c r="N83" s="6" t="s">
        <v>362</v>
      </c>
      <c r="O83" s="6" t="s">
        <v>283</v>
      </c>
      <c r="P83" s="7"/>
      <c r="Q83" s="6" t="s">
        <v>83</v>
      </c>
      <c r="R83" s="8"/>
    </row>
    <row r="84" spans="1:18" ht="25" x14ac:dyDescent="0.35">
      <c r="A84" s="6" t="s">
        <v>607</v>
      </c>
      <c r="B84" s="6" t="s">
        <v>590</v>
      </c>
      <c r="C84" s="6" t="s">
        <v>608</v>
      </c>
      <c r="D84" s="7" t="s">
        <v>609</v>
      </c>
      <c r="E84" s="7" t="s">
        <v>610</v>
      </c>
      <c r="F84" s="6"/>
      <c r="G84" s="7"/>
      <c r="H84" s="6"/>
      <c r="I84" s="6"/>
      <c r="J84" s="6"/>
      <c r="K84" s="6" t="s">
        <v>611</v>
      </c>
      <c r="L84" s="6"/>
      <c r="M84" s="6" t="s">
        <v>46</v>
      </c>
      <c r="N84" s="6" t="s">
        <v>362</v>
      </c>
      <c r="O84" s="6" t="s">
        <v>283</v>
      </c>
      <c r="P84" s="7"/>
      <c r="Q84" s="6" t="s">
        <v>83</v>
      </c>
      <c r="R84" s="8"/>
    </row>
    <row r="85" spans="1:18" ht="25" x14ac:dyDescent="0.35">
      <c r="A85" s="6" t="s">
        <v>612</v>
      </c>
      <c r="B85" s="6" t="s">
        <v>590</v>
      </c>
      <c r="C85" s="6" t="s">
        <v>613</v>
      </c>
      <c r="D85" s="7" t="s">
        <v>614</v>
      </c>
      <c r="E85" s="7" t="s">
        <v>615</v>
      </c>
      <c r="F85" s="6"/>
      <c r="G85" s="7"/>
      <c r="H85" s="6"/>
      <c r="I85" s="6"/>
      <c r="J85" s="6" t="s">
        <v>616</v>
      </c>
      <c r="K85" s="6" t="s">
        <v>361</v>
      </c>
      <c r="L85" s="6"/>
      <c r="M85" s="6" t="s">
        <v>46</v>
      </c>
      <c r="N85" s="6" t="s">
        <v>47</v>
      </c>
      <c r="O85" s="6" t="s">
        <v>283</v>
      </c>
      <c r="P85" s="7"/>
      <c r="Q85" s="6" t="s">
        <v>50</v>
      </c>
      <c r="R85" s="8"/>
    </row>
    <row r="86" spans="1:18" ht="25" x14ac:dyDescent="0.35">
      <c r="A86" s="6" t="s">
        <v>617</v>
      </c>
      <c r="B86" s="6" t="s">
        <v>590</v>
      </c>
      <c r="C86" s="6" t="s">
        <v>618</v>
      </c>
      <c r="D86" s="7" t="s">
        <v>619</v>
      </c>
      <c r="E86" s="7" t="s">
        <v>620</v>
      </c>
      <c r="F86" s="6"/>
      <c r="G86" s="7"/>
      <c r="H86" s="6" t="s">
        <v>621</v>
      </c>
      <c r="I86" s="6"/>
      <c r="J86" s="6" t="s">
        <v>622</v>
      </c>
      <c r="K86" s="6" t="s">
        <v>623</v>
      </c>
      <c r="L86" s="6" t="s">
        <v>624</v>
      </c>
      <c r="M86" s="6" t="s">
        <v>46</v>
      </c>
      <c r="N86" s="6" t="s">
        <v>47</v>
      </c>
      <c r="O86" s="6" t="s">
        <v>98</v>
      </c>
      <c r="P86" s="7"/>
      <c r="Q86" s="6" t="s">
        <v>50</v>
      </c>
      <c r="R86" s="8"/>
    </row>
    <row r="87" spans="1:18" ht="25" x14ac:dyDescent="0.35">
      <c r="A87" s="6" t="s">
        <v>625</v>
      </c>
      <c r="B87" s="6" t="s">
        <v>590</v>
      </c>
      <c r="C87" s="6" t="s">
        <v>626</v>
      </c>
      <c r="D87" s="7" t="s">
        <v>627</v>
      </c>
      <c r="E87" s="7" t="s">
        <v>628</v>
      </c>
      <c r="F87" s="6"/>
      <c r="G87" s="7"/>
      <c r="H87" s="6"/>
      <c r="I87" s="6"/>
      <c r="J87" s="6"/>
      <c r="K87" s="6" t="s">
        <v>629</v>
      </c>
      <c r="L87" s="6" t="s">
        <v>630</v>
      </c>
      <c r="M87" s="6" t="s">
        <v>46</v>
      </c>
      <c r="N87" s="6" t="s">
        <v>47</v>
      </c>
      <c r="O87" s="6" t="s">
        <v>98</v>
      </c>
      <c r="P87" s="7" t="s">
        <v>631</v>
      </c>
      <c r="Q87" s="6" t="s">
        <v>50</v>
      </c>
      <c r="R87" s="8"/>
    </row>
    <row r="88" spans="1:18" ht="25" x14ac:dyDescent="0.35">
      <c r="A88" s="6" t="s">
        <v>632</v>
      </c>
      <c r="B88" s="6" t="s">
        <v>590</v>
      </c>
      <c r="C88" s="6" t="s">
        <v>633</v>
      </c>
      <c r="D88" s="7" t="s">
        <v>634</v>
      </c>
      <c r="E88" s="7" t="s">
        <v>635</v>
      </c>
      <c r="F88" s="6"/>
      <c r="G88" s="7"/>
      <c r="H88" s="6"/>
      <c r="I88" s="6"/>
      <c r="J88" s="6"/>
      <c r="K88" s="6" t="s">
        <v>636</v>
      </c>
      <c r="L88" s="6"/>
      <c r="M88" s="6" t="s">
        <v>46</v>
      </c>
      <c r="N88" s="6" t="s">
        <v>362</v>
      </c>
      <c r="O88" s="6" t="s">
        <v>283</v>
      </c>
      <c r="P88" s="7"/>
      <c r="Q88" s="6" t="s">
        <v>83</v>
      </c>
      <c r="R88" s="8"/>
    </row>
    <row r="89" spans="1:18" ht="25" x14ac:dyDescent="0.35">
      <c r="A89" s="6" t="s">
        <v>637</v>
      </c>
      <c r="B89" s="6" t="s">
        <v>590</v>
      </c>
      <c r="C89" s="6" t="s">
        <v>361</v>
      </c>
      <c r="D89" s="7" t="s">
        <v>638</v>
      </c>
      <c r="E89" s="7" t="s">
        <v>639</v>
      </c>
      <c r="F89" s="6"/>
      <c r="G89" s="7"/>
      <c r="H89" s="6"/>
      <c r="I89" s="6"/>
      <c r="J89" s="6"/>
      <c r="K89" s="6" t="s">
        <v>640</v>
      </c>
      <c r="L89" s="6"/>
      <c r="M89" s="6" t="s">
        <v>46</v>
      </c>
      <c r="N89" s="6" t="s">
        <v>362</v>
      </c>
      <c r="O89" s="6" t="s">
        <v>283</v>
      </c>
      <c r="P89" s="7" t="s">
        <v>641</v>
      </c>
      <c r="Q89" s="6" t="s">
        <v>50</v>
      </c>
      <c r="R89" s="8"/>
    </row>
    <row r="90" spans="1:18" ht="25" x14ac:dyDescent="0.35">
      <c r="A90" s="6" t="s">
        <v>642</v>
      </c>
      <c r="B90" s="6" t="s">
        <v>643</v>
      </c>
      <c r="C90" s="6" t="s">
        <v>644</v>
      </c>
      <c r="D90" s="7" t="s">
        <v>645</v>
      </c>
      <c r="E90" s="7" t="s">
        <v>646</v>
      </c>
      <c r="F90" s="6"/>
      <c r="G90" s="7"/>
      <c r="H90" s="6" t="s">
        <v>647</v>
      </c>
      <c r="I90" s="6"/>
      <c r="J90" s="6"/>
      <c r="K90" s="6" t="s">
        <v>648</v>
      </c>
      <c r="L90" s="6"/>
      <c r="M90" s="6" t="s">
        <v>46</v>
      </c>
      <c r="N90" s="6" t="s">
        <v>649</v>
      </c>
      <c r="O90" s="6" t="s">
        <v>48</v>
      </c>
      <c r="P90" s="7"/>
      <c r="Q90" s="6" t="s">
        <v>50</v>
      </c>
      <c r="R90" s="8"/>
    </row>
    <row r="91" spans="1:18" ht="25" x14ac:dyDescent="0.35">
      <c r="A91" s="6" t="s">
        <v>650</v>
      </c>
      <c r="B91" s="6" t="s">
        <v>643</v>
      </c>
      <c r="C91" s="6" t="s">
        <v>651</v>
      </c>
      <c r="D91" s="7" t="s">
        <v>652</v>
      </c>
      <c r="E91" s="7" t="s">
        <v>653</v>
      </c>
      <c r="F91" s="6"/>
      <c r="G91" s="7"/>
      <c r="H91" s="6"/>
      <c r="I91" s="6"/>
      <c r="J91" s="6"/>
      <c r="K91" s="6" t="s">
        <v>648</v>
      </c>
      <c r="L91" s="6"/>
      <c r="M91" s="6" t="s">
        <v>46</v>
      </c>
      <c r="N91" s="6" t="s">
        <v>649</v>
      </c>
      <c r="O91" s="6" t="s">
        <v>48</v>
      </c>
      <c r="P91" s="7"/>
      <c r="Q91" s="6" t="s">
        <v>50</v>
      </c>
      <c r="R91" s="8"/>
    </row>
    <row r="92" spans="1:18" ht="25" x14ac:dyDescent="0.35">
      <c r="A92" s="6" t="s">
        <v>654</v>
      </c>
      <c r="B92" s="6" t="s">
        <v>643</v>
      </c>
      <c r="C92" s="6" t="s">
        <v>655</v>
      </c>
      <c r="D92" s="7" t="s">
        <v>656</v>
      </c>
      <c r="E92" s="7" t="s">
        <v>657</v>
      </c>
      <c r="F92" s="6"/>
      <c r="G92" s="7"/>
      <c r="H92" s="6" t="s">
        <v>658</v>
      </c>
      <c r="I92" s="6"/>
      <c r="J92" s="6"/>
      <c r="K92" s="6" t="s">
        <v>659</v>
      </c>
      <c r="L92" s="6"/>
      <c r="M92" s="6" t="s">
        <v>46</v>
      </c>
      <c r="N92" s="6" t="s">
        <v>47</v>
      </c>
      <c r="O92" s="6" t="s">
        <v>115</v>
      </c>
      <c r="P92" s="7" t="s">
        <v>660</v>
      </c>
      <c r="Q92" s="6" t="s">
        <v>83</v>
      </c>
      <c r="R92" s="8"/>
    </row>
    <row r="93" spans="1:18" ht="25" x14ac:dyDescent="0.35">
      <c r="A93" s="6" t="s">
        <v>661</v>
      </c>
      <c r="B93" s="6" t="s">
        <v>643</v>
      </c>
      <c r="C93" s="6" t="s">
        <v>662</v>
      </c>
      <c r="D93" s="7" t="s">
        <v>663</v>
      </c>
      <c r="E93" s="7" t="s">
        <v>664</v>
      </c>
      <c r="F93" s="6"/>
      <c r="G93" s="7"/>
      <c r="H93" s="6"/>
      <c r="I93" s="6"/>
      <c r="J93" s="6"/>
      <c r="K93" s="6" t="s">
        <v>665</v>
      </c>
      <c r="L93" s="6"/>
      <c r="M93" s="6" t="s">
        <v>46</v>
      </c>
      <c r="N93" s="6" t="s">
        <v>362</v>
      </c>
      <c r="O93" s="6" t="s">
        <v>58</v>
      </c>
      <c r="P93" s="7"/>
      <c r="Q93" s="6" t="s">
        <v>50</v>
      </c>
      <c r="R93" s="8"/>
    </row>
    <row r="94" spans="1:18" ht="25" x14ac:dyDescent="0.35">
      <c r="A94" s="6" t="s">
        <v>666</v>
      </c>
      <c r="B94" s="6" t="s">
        <v>643</v>
      </c>
      <c r="C94" s="6" t="s">
        <v>667</v>
      </c>
      <c r="D94" s="7" t="s">
        <v>668</v>
      </c>
      <c r="E94" s="7" t="s">
        <v>669</v>
      </c>
      <c r="F94" s="6"/>
      <c r="G94" s="7"/>
      <c r="H94" s="6" t="s">
        <v>658</v>
      </c>
      <c r="I94" s="6" t="s">
        <v>670</v>
      </c>
      <c r="J94" s="6"/>
      <c r="K94" s="6" t="s">
        <v>671</v>
      </c>
      <c r="L94" s="6"/>
      <c r="M94" s="6" t="s">
        <v>46</v>
      </c>
      <c r="N94" s="6" t="s">
        <v>362</v>
      </c>
      <c r="O94" s="6" t="s">
        <v>115</v>
      </c>
      <c r="P94" s="7" t="s">
        <v>672</v>
      </c>
      <c r="Q94" s="6" t="s">
        <v>83</v>
      </c>
      <c r="R94" s="8"/>
    </row>
    <row r="95" spans="1:18" ht="25" x14ac:dyDescent="0.35">
      <c r="A95" s="6" t="s">
        <v>673</v>
      </c>
      <c r="B95" s="6" t="s">
        <v>643</v>
      </c>
      <c r="C95" s="6" t="s">
        <v>674</v>
      </c>
      <c r="D95" s="7" t="s">
        <v>675</v>
      </c>
      <c r="E95" s="7" t="s">
        <v>676</v>
      </c>
      <c r="F95" s="6"/>
      <c r="G95" s="7"/>
      <c r="H95" s="6" t="s">
        <v>677</v>
      </c>
      <c r="I95" s="6" t="s">
        <v>678</v>
      </c>
      <c r="J95" s="6" t="s">
        <v>679</v>
      </c>
      <c r="K95" s="6"/>
      <c r="L95" s="6"/>
      <c r="M95" s="6" t="s">
        <v>46</v>
      </c>
      <c r="N95" s="6" t="s">
        <v>362</v>
      </c>
      <c r="O95" s="6" t="s">
        <v>115</v>
      </c>
      <c r="P95" s="7"/>
      <c r="Q95" s="6" t="s">
        <v>83</v>
      </c>
      <c r="R95" s="8"/>
    </row>
    <row r="96" spans="1:18" ht="25" x14ac:dyDescent="0.35">
      <c r="A96" s="6" t="s">
        <v>680</v>
      </c>
      <c r="B96" s="6" t="s">
        <v>643</v>
      </c>
      <c r="C96" s="6" t="s">
        <v>681</v>
      </c>
      <c r="D96" s="7" t="s">
        <v>682</v>
      </c>
      <c r="E96" s="7" t="s">
        <v>683</v>
      </c>
      <c r="F96" s="6"/>
      <c r="G96" s="7"/>
      <c r="H96" s="6" t="s">
        <v>677</v>
      </c>
      <c r="I96" s="6" t="s">
        <v>684</v>
      </c>
      <c r="J96" s="6"/>
      <c r="K96" s="6"/>
      <c r="L96" s="6"/>
      <c r="M96" s="6" t="s">
        <v>369</v>
      </c>
      <c r="N96" s="6" t="s">
        <v>362</v>
      </c>
      <c r="O96" s="6" t="s">
        <v>115</v>
      </c>
      <c r="P96" s="7" t="s">
        <v>685</v>
      </c>
      <c r="Q96" s="6" t="s">
        <v>50</v>
      </c>
      <c r="R96" s="8"/>
    </row>
    <row r="97" spans="1:18" ht="25" x14ac:dyDescent="0.35">
      <c r="A97" s="6" t="s">
        <v>686</v>
      </c>
      <c r="B97" s="6" t="s">
        <v>643</v>
      </c>
      <c r="C97" s="6" t="s">
        <v>687</v>
      </c>
      <c r="D97" s="7" t="s">
        <v>688</v>
      </c>
      <c r="E97" s="7" t="s">
        <v>689</v>
      </c>
      <c r="F97" s="6"/>
      <c r="G97" s="7"/>
      <c r="H97" s="6" t="s">
        <v>690</v>
      </c>
      <c r="I97" s="6"/>
      <c r="J97" s="6"/>
      <c r="K97" s="6" t="s">
        <v>456</v>
      </c>
      <c r="L97" s="6"/>
      <c r="M97" s="6" t="s">
        <v>691</v>
      </c>
      <c r="N97" s="6" t="s">
        <v>649</v>
      </c>
      <c r="O97" s="6" t="s">
        <v>48</v>
      </c>
      <c r="P97" s="7" t="s">
        <v>692</v>
      </c>
      <c r="Q97" s="6" t="s">
        <v>50</v>
      </c>
      <c r="R97" s="8"/>
    </row>
  </sheetData>
  <autoFilter ref="A1:R9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0" customWidth="1"/>
    <col min="2" max="2" width="34" customWidth="1"/>
    <col min="3" max="3" width="18" customWidth="1"/>
    <col min="4" max="4" width="62" customWidth="1"/>
    <col min="5" max="5" width="70" customWidth="1"/>
    <col min="6" max="6" width="34" customWidth="1"/>
    <col min="7" max="7" width="20" customWidth="1"/>
  </cols>
  <sheetData>
    <row r="1" spans="1:7" ht="30" customHeight="1" x14ac:dyDescent="0.35">
      <c r="A1" s="5" t="s">
        <v>21</v>
      </c>
      <c r="B1" s="5" t="s">
        <v>693</v>
      </c>
      <c r="C1" s="5" t="s">
        <v>694</v>
      </c>
      <c r="D1" s="5" t="s">
        <v>695</v>
      </c>
      <c r="E1" s="5" t="s">
        <v>696</v>
      </c>
      <c r="F1" s="5" t="s">
        <v>697</v>
      </c>
      <c r="G1" s="5" t="s">
        <v>38</v>
      </c>
    </row>
    <row r="2" spans="1:7" ht="37.5" x14ac:dyDescent="0.35">
      <c r="A2" s="6" t="s">
        <v>698</v>
      </c>
      <c r="B2" s="6" t="s">
        <v>655</v>
      </c>
      <c r="C2" s="6" t="s">
        <v>699</v>
      </c>
      <c r="D2" s="7" t="s">
        <v>700</v>
      </c>
      <c r="E2" s="7" t="s">
        <v>701</v>
      </c>
      <c r="F2" s="6" t="s">
        <v>636</v>
      </c>
      <c r="G2" s="8"/>
    </row>
    <row r="3" spans="1:7" ht="25" x14ac:dyDescent="0.35">
      <c r="A3" s="6" t="s">
        <v>702</v>
      </c>
      <c r="B3" s="6" t="s">
        <v>655</v>
      </c>
      <c r="C3" s="6" t="s">
        <v>703</v>
      </c>
      <c r="D3" s="7" t="s">
        <v>704</v>
      </c>
      <c r="E3" s="7" t="s">
        <v>705</v>
      </c>
      <c r="F3" s="6" t="s">
        <v>706</v>
      </c>
      <c r="G3" s="8"/>
    </row>
    <row r="4" spans="1:7" ht="25" x14ac:dyDescent="0.35">
      <c r="A4" s="6" t="s">
        <v>707</v>
      </c>
      <c r="B4" s="6" t="s">
        <v>667</v>
      </c>
      <c r="C4" s="6" t="s">
        <v>699</v>
      </c>
      <c r="D4" s="7" t="s">
        <v>708</v>
      </c>
      <c r="E4" s="7" t="s">
        <v>709</v>
      </c>
      <c r="F4" s="6" t="s">
        <v>671</v>
      </c>
      <c r="G4" s="8"/>
    </row>
    <row r="5" spans="1:7" ht="25" x14ac:dyDescent="0.35">
      <c r="A5" s="6" t="s">
        <v>710</v>
      </c>
      <c r="B5" s="6" t="s">
        <v>372</v>
      </c>
      <c r="C5" s="6" t="s">
        <v>699</v>
      </c>
      <c r="D5" s="7" t="s">
        <v>711</v>
      </c>
      <c r="E5" s="7" t="s">
        <v>712</v>
      </c>
      <c r="F5" s="6" t="s">
        <v>713</v>
      </c>
      <c r="G5" s="8"/>
    </row>
    <row r="6" spans="1:7" ht="25" x14ac:dyDescent="0.35">
      <c r="A6" s="6" t="s">
        <v>714</v>
      </c>
      <c r="B6" s="6" t="s">
        <v>715</v>
      </c>
      <c r="C6" s="6" t="s">
        <v>699</v>
      </c>
      <c r="D6" s="7" t="s">
        <v>716</v>
      </c>
      <c r="E6" s="7" t="s">
        <v>717</v>
      </c>
      <c r="F6" s="6"/>
      <c r="G6" s="8"/>
    </row>
    <row r="7" spans="1:7" ht="25" x14ac:dyDescent="0.35">
      <c r="A7" s="6" t="s">
        <v>718</v>
      </c>
      <c r="B7" s="6" t="s">
        <v>431</v>
      </c>
      <c r="C7" s="6" t="s">
        <v>699</v>
      </c>
      <c r="D7" s="7" t="s">
        <v>719</v>
      </c>
      <c r="E7" s="7" t="s">
        <v>720</v>
      </c>
      <c r="F7" s="6"/>
      <c r="G7" s="8"/>
    </row>
    <row r="8" spans="1:7" ht="25" x14ac:dyDescent="0.35">
      <c r="A8" s="6" t="s">
        <v>721</v>
      </c>
      <c r="B8" s="6" t="s">
        <v>722</v>
      </c>
      <c r="C8" s="6" t="s">
        <v>699</v>
      </c>
      <c r="D8" s="7" t="s">
        <v>723</v>
      </c>
      <c r="E8" s="7" t="s">
        <v>724</v>
      </c>
      <c r="F8" s="6" t="s">
        <v>549</v>
      </c>
      <c r="G8" s="8"/>
    </row>
    <row r="9" spans="1:7" ht="25" x14ac:dyDescent="0.35">
      <c r="A9" s="6" t="s">
        <v>725</v>
      </c>
      <c r="B9" s="6" t="s">
        <v>118</v>
      </c>
      <c r="C9" s="6" t="s">
        <v>703</v>
      </c>
      <c r="D9" s="7" t="s">
        <v>726</v>
      </c>
      <c r="E9" s="7" t="s">
        <v>727</v>
      </c>
      <c r="F9" s="6" t="s">
        <v>728</v>
      </c>
      <c r="G9" s="8"/>
    </row>
    <row r="10" spans="1:7" ht="25" x14ac:dyDescent="0.35">
      <c r="A10" s="6" t="s">
        <v>729</v>
      </c>
      <c r="B10" s="6" t="s">
        <v>730</v>
      </c>
      <c r="C10" s="6" t="s">
        <v>699</v>
      </c>
      <c r="D10" s="7" t="s">
        <v>731</v>
      </c>
      <c r="E10" s="7" t="s">
        <v>732</v>
      </c>
      <c r="F10" s="6" t="s">
        <v>79</v>
      </c>
      <c r="G10" s="8"/>
    </row>
    <row r="11" spans="1:7" ht="25" x14ac:dyDescent="0.35">
      <c r="A11" s="6" t="s">
        <v>733</v>
      </c>
      <c r="B11" s="6" t="s">
        <v>76</v>
      </c>
      <c r="C11" s="6" t="s">
        <v>734</v>
      </c>
      <c r="D11" s="7" t="s">
        <v>735</v>
      </c>
      <c r="E11" s="7" t="s">
        <v>736</v>
      </c>
      <c r="F11" s="6" t="s">
        <v>44</v>
      </c>
      <c r="G11" s="8"/>
    </row>
    <row r="12" spans="1:7" ht="25" x14ac:dyDescent="0.35">
      <c r="A12" s="6" t="s">
        <v>737</v>
      </c>
      <c r="B12" s="6" t="s">
        <v>738</v>
      </c>
      <c r="C12" s="6" t="s">
        <v>739</v>
      </c>
      <c r="D12" s="7" t="s">
        <v>740</v>
      </c>
      <c r="E12" s="7" t="s">
        <v>741</v>
      </c>
      <c r="F12" s="6" t="s">
        <v>196</v>
      </c>
      <c r="G12" s="8"/>
    </row>
    <row r="13" spans="1:7" ht="25" x14ac:dyDescent="0.35">
      <c r="A13" s="6" t="s">
        <v>742</v>
      </c>
      <c r="B13" s="6" t="s">
        <v>743</v>
      </c>
      <c r="C13" s="6" t="s">
        <v>739</v>
      </c>
      <c r="D13" s="7" t="s">
        <v>744</v>
      </c>
      <c r="E13" s="7" t="s">
        <v>745</v>
      </c>
      <c r="F13" s="6" t="s">
        <v>746</v>
      </c>
      <c r="G13" s="8"/>
    </row>
    <row r="14" spans="1:7" ht="25" x14ac:dyDescent="0.35">
      <c r="A14" s="6" t="s">
        <v>747</v>
      </c>
      <c r="B14" s="6" t="s">
        <v>748</v>
      </c>
      <c r="C14" s="6" t="s">
        <v>703</v>
      </c>
      <c r="D14" s="7" t="s">
        <v>749</v>
      </c>
      <c r="E14" s="7" t="s">
        <v>750</v>
      </c>
      <c r="F14" s="6" t="s">
        <v>543</v>
      </c>
      <c r="G14" s="8"/>
    </row>
    <row r="15" spans="1:7" ht="25" x14ac:dyDescent="0.35">
      <c r="A15" s="6" t="s">
        <v>751</v>
      </c>
      <c r="B15" s="6" t="s">
        <v>752</v>
      </c>
      <c r="C15" s="6" t="s">
        <v>739</v>
      </c>
      <c r="D15" s="7" t="s">
        <v>753</v>
      </c>
      <c r="E15" s="7" t="s">
        <v>754</v>
      </c>
      <c r="F15" s="6" t="s">
        <v>755</v>
      </c>
      <c r="G15" s="8"/>
    </row>
    <row r="16" spans="1:7" ht="25" x14ac:dyDescent="0.35">
      <c r="A16" s="6" t="s">
        <v>756</v>
      </c>
      <c r="B16" s="6" t="s">
        <v>757</v>
      </c>
      <c r="C16" s="6" t="s">
        <v>739</v>
      </c>
      <c r="D16" s="7" t="s">
        <v>758</v>
      </c>
      <c r="E16" s="7" t="s">
        <v>759</v>
      </c>
      <c r="F16" s="6"/>
      <c r="G16" s="8"/>
    </row>
    <row r="17" spans="1:7" ht="25" x14ac:dyDescent="0.35">
      <c r="A17" s="6" t="s">
        <v>760</v>
      </c>
      <c r="B17" s="6" t="s">
        <v>761</v>
      </c>
      <c r="C17" s="6" t="s">
        <v>699</v>
      </c>
      <c r="D17" s="7" t="s">
        <v>762</v>
      </c>
      <c r="E17" s="7" t="s">
        <v>763</v>
      </c>
      <c r="F17" s="6"/>
      <c r="G17" s="8"/>
    </row>
    <row r="18" spans="1:7" x14ac:dyDescent="0.35">
      <c r="A18" s="6" t="s">
        <v>764</v>
      </c>
      <c r="B18" s="6" t="s">
        <v>765</v>
      </c>
      <c r="C18" s="6" t="s">
        <v>734</v>
      </c>
      <c r="D18" s="7" t="s">
        <v>766</v>
      </c>
      <c r="E18" s="7" t="s">
        <v>767</v>
      </c>
      <c r="F18" s="6" t="s">
        <v>768</v>
      </c>
      <c r="G18" s="8"/>
    </row>
    <row r="19" spans="1:7" ht="25" x14ac:dyDescent="0.35">
      <c r="A19" s="6" t="s">
        <v>769</v>
      </c>
      <c r="B19" s="6" t="s">
        <v>770</v>
      </c>
      <c r="C19" s="6" t="s">
        <v>703</v>
      </c>
      <c r="D19" s="7" t="s">
        <v>771</v>
      </c>
      <c r="E19" s="7" t="s">
        <v>772</v>
      </c>
      <c r="F19" s="6" t="s">
        <v>112</v>
      </c>
      <c r="G19" s="8"/>
    </row>
    <row r="20" spans="1:7" ht="25" x14ac:dyDescent="0.35">
      <c r="A20" s="6" t="s">
        <v>773</v>
      </c>
      <c r="B20" s="6" t="s">
        <v>296</v>
      </c>
      <c r="C20" s="6" t="s">
        <v>699</v>
      </c>
      <c r="D20" s="7" t="s">
        <v>774</v>
      </c>
      <c r="E20" s="7" t="s">
        <v>775</v>
      </c>
      <c r="F20" s="6" t="s">
        <v>176</v>
      </c>
      <c r="G20" s="8"/>
    </row>
    <row r="21" spans="1:7" ht="25" x14ac:dyDescent="0.35">
      <c r="A21" s="6" t="s">
        <v>776</v>
      </c>
      <c r="B21" s="6" t="s">
        <v>61</v>
      </c>
      <c r="C21" s="6" t="s">
        <v>703</v>
      </c>
      <c r="D21" s="7" t="s">
        <v>777</v>
      </c>
      <c r="E21" s="7" t="s">
        <v>778</v>
      </c>
      <c r="F21" s="6" t="s">
        <v>779</v>
      </c>
      <c r="G21" s="8"/>
    </row>
  </sheetData>
  <autoFilter ref="A1:G2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0" customWidth="1"/>
    <col min="2" max="2" width="26" customWidth="1"/>
    <col min="3" max="3" width="44" customWidth="1"/>
    <col min="4" max="4" width="12" customWidth="1"/>
    <col min="5" max="5" width="60" customWidth="1"/>
    <col min="6" max="6" width="62" customWidth="1"/>
  </cols>
  <sheetData>
    <row r="1" spans="1:6" ht="30" customHeight="1" x14ac:dyDescent="0.35">
      <c r="A1" s="5" t="s">
        <v>21</v>
      </c>
      <c r="B1" s="5" t="s">
        <v>780</v>
      </c>
      <c r="C1" s="5" t="s">
        <v>781</v>
      </c>
      <c r="D1" s="5" t="s">
        <v>782</v>
      </c>
      <c r="E1" s="5" t="s">
        <v>783</v>
      </c>
      <c r="F1" s="5" t="s">
        <v>784</v>
      </c>
    </row>
    <row r="2" spans="1:6" x14ac:dyDescent="0.35">
      <c r="A2" s="6" t="s">
        <v>785</v>
      </c>
      <c r="B2" s="6" t="s">
        <v>236</v>
      </c>
      <c r="C2" s="6" t="s">
        <v>786</v>
      </c>
      <c r="D2" s="6" t="s">
        <v>787</v>
      </c>
      <c r="E2" s="7" t="s">
        <v>788</v>
      </c>
      <c r="F2" s="7" t="s">
        <v>789</v>
      </c>
    </row>
    <row r="3" spans="1:6" ht="25" x14ac:dyDescent="0.35">
      <c r="A3" s="6" t="s">
        <v>790</v>
      </c>
      <c r="B3" s="6" t="s">
        <v>157</v>
      </c>
      <c r="C3" s="6" t="s">
        <v>791</v>
      </c>
      <c r="D3" s="6" t="s">
        <v>787</v>
      </c>
      <c r="E3" s="7" t="s">
        <v>792</v>
      </c>
      <c r="F3" s="7"/>
    </row>
    <row r="4" spans="1:6" x14ac:dyDescent="0.35">
      <c r="A4" s="6" t="s">
        <v>793</v>
      </c>
      <c r="B4" s="6" t="s">
        <v>794</v>
      </c>
      <c r="C4" s="6" t="s">
        <v>795</v>
      </c>
      <c r="D4" s="6" t="s">
        <v>787</v>
      </c>
      <c r="E4" s="7" t="s">
        <v>796</v>
      </c>
      <c r="F4" s="7" t="s">
        <v>797</v>
      </c>
    </row>
    <row r="5" spans="1:6" x14ac:dyDescent="0.35">
      <c r="A5" s="6" t="s">
        <v>798</v>
      </c>
      <c r="B5" s="6" t="s">
        <v>307</v>
      </c>
      <c r="C5" s="6" t="s">
        <v>799</v>
      </c>
      <c r="D5" s="6" t="s">
        <v>800</v>
      </c>
      <c r="E5" s="7"/>
      <c r="F5" s="7" t="s">
        <v>801</v>
      </c>
    </row>
    <row r="6" spans="1:6" x14ac:dyDescent="0.35">
      <c r="A6" s="6" t="s">
        <v>802</v>
      </c>
      <c r="B6" s="6" t="s">
        <v>72</v>
      </c>
      <c r="C6" s="6" t="s">
        <v>803</v>
      </c>
      <c r="D6" s="6" t="s">
        <v>800</v>
      </c>
      <c r="E6" s="7"/>
      <c r="F6" s="7" t="s">
        <v>804</v>
      </c>
    </row>
    <row r="7" spans="1:6" x14ac:dyDescent="0.35">
      <c r="A7" s="6" t="s">
        <v>805</v>
      </c>
      <c r="B7" s="6" t="s">
        <v>282</v>
      </c>
      <c r="C7" s="6" t="s">
        <v>806</v>
      </c>
      <c r="D7" s="6" t="s">
        <v>787</v>
      </c>
      <c r="E7" s="7" t="s">
        <v>807</v>
      </c>
      <c r="F7" s="7"/>
    </row>
    <row r="8" spans="1:6" x14ac:dyDescent="0.35">
      <c r="A8" s="6" t="s">
        <v>808</v>
      </c>
      <c r="B8" s="6" t="s">
        <v>105</v>
      </c>
      <c r="C8" s="6" t="s">
        <v>809</v>
      </c>
      <c r="D8" s="6" t="s">
        <v>810</v>
      </c>
      <c r="E8" s="7"/>
      <c r="F8" s="7" t="s">
        <v>811</v>
      </c>
    </row>
    <row r="9" spans="1:6" x14ac:dyDescent="0.35">
      <c r="A9" s="6" t="s">
        <v>812</v>
      </c>
      <c r="B9" s="6" t="s">
        <v>813</v>
      </c>
      <c r="C9" s="6" t="s">
        <v>814</v>
      </c>
      <c r="D9" s="6" t="s">
        <v>800</v>
      </c>
      <c r="E9" s="7"/>
      <c r="F9" s="7"/>
    </row>
    <row r="10" spans="1:6" x14ac:dyDescent="0.35">
      <c r="A10" s="6" t="s">
        <v>815</v>
      </c>
      <c r="B10" s="6" t="s">
        <v>212</v>
      </c>
      <c r="C10" s="6" t="s">
        <v>816</v>
      </c>
      <c r="D10" s="6" t="s">
        <v>817</v>
      </c>
      <c r="E10" s="7"/>
      <c r="F10" s="7" t="s">
        <v>818</v>
      </c>
    </row>
    <row r="11" spans="1:6" x14ac:dyDescent="0.35">
      <c r="A11" s="6" t="s">
        <v>819</v>
      </c>
      <c r="B11" s="6" t="s">
        <v>820</v>
      </c>
      <c r="C11" s="6" t="s">
        <v>821</v>
      </c>
      <c r="D11" s="6" t="s">
        <v>787</v>
      </c>
      <c r="E11" s="7" t="s">
        <v>822</v>
      </c>
      <c r="F11" s="7"/>
    </row>
    <row r="12" spans="1:6" x14ac:dyDescent="0.35">
      <c r="A12" s="6" t="s">
        <v>823</v>
      </c>
      <c r="B12" s="6" t="s">
        <v>630</v>
      </c>
      <c r="C12" s="6" t="s">
        <v>824</v>
      </c>
      <c r="D12" s="6" t="s">
        <v>787</v>
      </c>
      <c r="E12" s="7" t="s">
        <v>825</v>
      </c>
      <c r="F12" s="7"/>
    </row>
    <row r="13" spans="1:6" x14ac:dyDescent="0.35">
      <c r="A13" s="6" t="s">
        <v>826</v>
      </c>
      <c r="B13" s="6" t="s">
        <v>255</v>
      </c>
      <c r="C13" s="6" t="s">
        <v>827</v>
      </c>
      <c r="D13" s="6" t="s">
        <v>828</v>
      </c>
      <c r="E13" s="7"/>
      <c r="F13" s="7"/>
    </row>
    <row r="14" spans="1:6" x14ac:dyDescent="0.35">
      <c r="A14" s="6" t="s">
        <v>829</v>
      </c>
      <c r="B14" s="6" t="s">
        <v>135</v>
      </c>
      <c r="C14" s="6" t="s">
        <v>830</v>
      </c>
      <c r="D14" s="6" t="s">
        <v>787</v>
      </c>
      <c r="E14" s="7" t="s">
        <v>831</v>
      </c>
      <c r="F14" s="7"/>
    </row>
    <row r="15" spans="1:6" x14ac:dyDescent="0.35">
      <c r="A15" s="6" t="s">
        <v>832</v>
      </c>
      <c r="B15" s="6" t="s">
        <v>34</v>
      </c>
      <c r="C15" s="6" t="s">
        <v>833</v>
      </c>
      <c r="D15" s="6" t="s">
        <v>787</v>
      </c>
      <c r="E15" s="7" t="s">
        <v>47</v>
      </c>
      <c r="F15" s="7" t="s">
        <v>834</v>
      </c>
    </row>
    <row r="16" spans="1:6" ht="25" x14ac:dyDescent="0.35">
      <c r="A16" s="6" t="s">
        <v>835</v>
      </c>
      <c r="B16" s="6" t="s">
        <v>427</v>
      </c>
      <c r="C16" s="6" t="s">
        <v>836</v>
      </c>
      <c r="D16" s="6" t="s">
        <v>787</v>
      </c>
      <c r="E16" s="7" t="s">
        <v>837</v>
      </c>
      <c r="F16" s="7"/>
    </row>
    <row r="17" spans="1:6" x14ac:dyDescent="0.35">
      <c r="A17" s="6" t="s">
        <v>838</v>
      </c>
      <c r="B17" s="6" t="s">
        <v>839</v>
      </c>
      <c r="C17" s="6" t="s">
        <v>840</v>
      </c>
      <c r="D17" s="6" t="s">
        <v>841</v>
      </c>
      <c r="E17" s="7"/>
      <c r="F17" s="7"/>
    </row>
    <row r="18" spans="1:6" x14ac:dyDescent="0.35">
      <c r="A18" s="6" t="s">
        <v>842</v>
      </c>
      <c r="B18" s="6" t="s">
        <v>843</v>
      </c>
      <c r="C18" s="6" t="s">
        <v>844</v>
      </c>
      <c r="D18" s="6" t="s">
        <v>841</v>
      </c>
      <c r="E18" s="7"/>
      <c r="F18" s="7"/>
    </row>
  </sheetData>
  <autoFilter ref="A1:F1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3" width="62" customWidth="1"/>
    <col min="4" max="4" width="68" customWidth="1"/>
    <col min="5" max="5" width="16" customWidth="1"/>
    <col min="6" max="7" width="40" customWidth="1"/>
    <col min="8" max="8" width="22" customWidth="1"/>
    <col min="9" max="9" width="28" customWidth="1"/>
    <col min="10" max="10" width="24" customWidth="1"/>
    <col min="11" max="11" width="10" customWidth="1"/>
    <col min="12" max="12" width="50" customWidth="1"/>
    <col min="13" max="13" width="20" customWidth="1"/>
    <col min="14" max="14" width="46" customWidth="1"/>
  </cols>
  <sheetData>
    <row r="1" spans="1:14" ht="30" customHeight="1" x14ac:dyDescent="0.35">
      <c r="A1" s="5" t="s">
        <v>21</v>
      </c>
      <c r="B1" s="5" t="s">
        <v>845</v>
      </c>
      <c r="C1" s="5" t="s">
        <v>846</v>
      </c>
      <c r="D1" s="5" t="s">
        <v>847</v>
      </c>
      <c r="E1" s="5" t="s">
        <v>848</v>
      </c>
      <c r="F1" s="5" t="s">
        <v>849</v>
      </c>
      <c r="G1" s="5" t="s">
        <v>850</v>
      </c>
      <c r="H1" s="5" t="s">
        <v>851</v>
      </c>
      <c r="I1" s="5" t="s">
        <v>852</v>
      </c>
      <c r="J1" s="5" t="s">
        <v>853</v>
      </c>
      <c r="K1" s="5" t="s">
        <v>854</v>
      </c>
      <c r="L1" s="5" t="s">
        <v>855</v>
      </c>
      <c r="M1" s="5" t="s">
        <v>38</v>
      </c>
      <c r="N1" s="5" t="s">
        <v>856</v>
      </c>
    </row>
    <row r="2" spans="1:14" ht="25" x14ac:dyDescent="0.35">
      <c r="A2" s="6" t="s">
        <v>857</v>
      </c>
      <c r="B2" s="6" t="s">
        <v>48</v>
      </c>
      <c r="C2" s="7" t="s">
        <v>858</v>
      </c>
      <c r="D2" s="7" t="s">
        <v>859</v>
      </c>
      <c r="E2" s="6" t="s">
        <v>734</v>
      </c>
      <c r="F2" s="6" t="s">
        <v>860</v>
      </c>
      <c r="G2" s="6" t="s">
        <v>861</v>
      </c>
      <c r="H2" s="6" t="s">
        <v>862</v>
      </c>
      <c r="I2" s="6" t="s">
        <v>863</v>
      </c>
      <c r="J2" s="6" t="s">
        <v>864</v>
      </c>
      <c r="K2" s="6" t="s">
        <v>865</v>
      </c>
      <c r="L2" s="7" t="s">
        <v>866</v>
      </c>
      <c r="M2" s="8"/>
      <c r="N2" s="8"/>
    </row>
    <row r="3" spans="1:14" ht="25" x14ac:dyDescent="0.35">
      <c r="A3" s="6" t="s">
        <v>867</v>
      </c>
      <c r="B3" s="6" t="s">
        <v>48</v>
      </c>
      <c r="C3" s="7" t="s">
        <v>868</v>
      </c>
      <c r="D3" s="7" t="s">
        <v>869</v>
      </c>
      <c r="E3" s="6" t="s">
        <v>734</v>
      </c>
      <c r="F3" s="6" t="s">
        <v>870</v>
      </c>
      <c r="G3" s="6" t="s">
        <v>871</v>
      </c>
      <c r="H3" s="6" t="s">
        <v>872</v>
      </c>
      <c r="I3" s="6" t="s">
        <v>794</v>
      </c>
      <c r="J3" s="6" t="s">
        <v>873</v>
      </c>
      <c r="K3" s="6" t="s">
        <v>874</v>
      </c>
      <c r="L3" s="7" t="s">
        <v>875</v>
      </c>
      <c r="M3" s="8"/>
      <c r="N3" s="8"/>
    </row>
    <row r="4" spans="1:14" ht="25" x14ac:dyDescent="0.35">
      <c r="A4" s="6" t="s">
        <v>876</v>
      </c>
      <c r="B4" s="6" t="s">
        <v>48</v>
      </c>
      <c r="C4" s="7" t="s">
        <v>877</v>
      </c>
      <c r="D4" s="7" t="s">
        <v>878</v>
      </c>
      <c r="E4" s="6" t="s">
        <v>879</v>
      </c>
      <c r="F4" s="6" t="s">
        <v>880</v>
      </c>
      <c r="G4" s="6" t="s">
        <v>881</v>
      </c>
      <c r="H4" s="6" t="s">
        <v>882</v>
      </c>
      <c r="I4" s="6" t="s">
        <v>883</v>
      </c>
      <c r="J4" s="6" t="s">
        <v>884</v>
      </c>
      <c r="K4" s="6" t="s">
        <v>865</v>
      </c>
      <c r="L4" s="7" t="s">
        <v>885</v>
      </c>
      <c r="M4" s="8"/>
      <c r="N4" s="8"/>
    </row>
    <row r="5" spans="1:14" ht="25" x14ac:dyDescent="0.35">
      <c r="A5" s="6" t="s">
        <v>886</v>
      </c>
      <c r="B5" s="6" t="s">
        <v>48</v>
      </c>
      <c r="C5" s="7" t="s">
        <v>887</v>
      </c>
      <c r="D5" s="7" t="s">
        <v>888</v>
      </c>
      <c r="E5" s="6" t="s">
        <v>734</v>
      </c>
      <c r="F5" s="6" t="s">
        <v>889</v>
      </c>
      <c r="G5" s="6" t="s">
        <v>108</v>
      </c>
      <c r="H5" s="6" t="s">
        <v>107</v>
      </c>
      <c r="I5" s="6" t="s">
        <v>890</v>
      </c>
      <c r="J5" s="6" t="s">
        <v>864</v>
      </c>
      <c r="K5" s="6" t="s">
        <v>891</v>
      </c>
      <c r="L5" s="7" t="s">
        <v>892</v>
      </c>
      <c r="M5" s="8"/>
      <c r="N5" s="8"/>
    </row>
    <row r="6" spans="1:14" ht="25" x14ac:dyDescent="0.35">
      <c r="A6" s="6" t="s">
        <v>893</v>
      </c>
      <c r="B6" s="6" t="s">
        <v>48</v>
      </c>
      <c r="C6" s="7" t="s">
        <v>894</v>
      </c>
      <c r="D6" s="7" t="s">
        <v>895</v>
      </c>
      <c r="E6" s="6" t="s">
        <v>896</v>
      </c>
      <c r="F6" s="6" t="s">
        <v>897</v>
      </c>
      <c r="G6" s="6" t="s">
        <v>101</v>
      </c>
      <c r="H6" s="6" t="s">
        <v>100</v>
      </c>
      <c r="I6" s="6" t="s">
        <v>105</v>
      </c>
      <c r="J6" s="6" t="s">
        <v>873</v>
      </c>
      <c r="K6" s="6" t="s">
        <v>865</v>
      </c>
      <c r="L6" s="7" t="s">
        <v>898</v>
      </c>
      <c r="M6" s="8"/>
      <c r="N6" s="8"/>
    </row>
    <row r="7" spans="1:14" ht="25" x14ac:dyDescent="0.35">
      <c r="A7" s="6" t="s">
        <v>899</v>
      </c>
      <c r="B7" s="6" t="s">
        <v>48</v>
      </c>
      <c r="C7" s="7" t="s">
        <v>900</v>
      </c>
      <c r="D7" s="7" t="s">
        <v>901</v>
      </c>
      <c r="E7" s="6" t="s">
        <v>734</v>
      </c>
      <c r="F7" s="6" t="s">
        <v>902</v>
      </c>
      <c r="G7" s="6" t="s">
        <v>903</v>
      </c>
      <c r="H7" s="6" t="s">
        <v>904</v>
      </c>
      <c r="I7" s="6" t="s">
        <v>905</v>
      </c>
      <c r="J7" s="6" t="s">
        <v>873</v>
      </c>
      <c r="K7" s="6" t="s">
        <v>865</v>
      </c>
      <c r="L7" s="7" t="s">
        <v>906</v>
      </c>
      <c r="M7" s="8"/>
      <c r="N7" s="8"/>
    </row>
    <row r="8" spans="1:14" x14ac:dyDescent="0.35">
      <c r="A8" s="6" t="s">
        <v>907</v>
      </c>
      <c r="B8" s="6" t="s">
        <v>48</v>
      </c>
      <c r="C8" s="7" t="s">
        <v>908</v>
      </c>
      <c r="D8" s="7" t="s">
        <v>909</v>
      </c>
      <c r="E8" s="6" t="s">
        <v>734</v>
      </c>
      <c r="F8" s="6" t="s">
        <v>910</v>
      </c>
      <c r="G8" s="6" t="s">
        <v>61</v>
      </c>
      <c r="H8" s="6" t="s">
        <v>60</v>
      </c>
      <c r="I8" s="6" t="s">
        <v>157</v>
      </c>
      <c r="J8" s="6" t="s">
        <v>864</v>
      </c>
      <c r="K8" s="6" t="s">
        <v>865</v>
      </c>
      <c r="L8" s="7" t="s">
        <v>911</v>
      </c>
      <c r="M8" s="8"/>
      <c r="N8" s="8"/>
    </row>
    <row r="9" spans="1:14" x14ac:dyDescent="0.35">
      <c r="A9" s="6" t="s">
        <v>912</v>
      </c>
      <c r="B9" s="6" t="s">
        <v>48</v>
      </c>
      <c r="C9" s="7" t="s">
        <v>913</v>
      </c>
      <c r="D9" s="7" t="s">
        <v>914</v>
      </c>
      <c r="E9" s="6" t="s">
        <v>734</v>
      </c>
      <c r="F9" s="6" t="s">
        <v>915</v>
      </c>
      <c r="G9" s="6" t="s">
        <v>916</v>
      </c>
      <c r="H9" s="6" t="s">
        <v>917</v>
      </c>
      <c r="I9" s="6" t="s">
        <v>157</v>
      </c>
      <c r="J9" s="6" t="s">
        <v>864</v>
      </c>
      <c r="K9" s="6" t="s">
        <v>865</v>
      </c>
      <c r="L9" s="7" t="s">
        <v>918</v>
      </c>
      <c r="M9" s="8"/>
      <c r="N9" s="8"/>
    </row>
    <row r="10" spans="1:14" ht="25" x14ac:dyDescent="0.35">
      <c r="A10" s="6" t="s">
        <v>919</v>
      </c>
      <c r="B10" s="6" t="s">
        <v>48</v>
      </c>
      <c r="C10" s="7" t="s">
        <v>920</v>
      </c>
      <c r="D10" s="7" t="s">
        <v>921</v>
      </c>
      <c r="E10" s="6" t="s">
        <v>879</v>
      </c>
      <c r="F10" s="6" t="s">
        <v>922</v>
      </c>
      <c r="G10" s="6" t="s">
        <v>61</v>
      </c>
      <c r="H10" s="6" t="s">
        <v>60</v>
      </c>
      <c r="I10" s="6" t="s">
        <v>157</v>
      </c>
      <c r="J10" s="6" t="s">
        <v>884</v>
      </c>
      <c r="K10" s="6" t="s">
        <v>865</v>
      </c>
      <c r="L10" s="7" t="s">
        <v>923</v>
      </c>
      <c r="M10" s="8"/>
      <c r="N10" s="8"/>
    </row>
    <row r="11" spans="1:14" ht="25" x14ac:dyDescent="0.35">
      <c r="A11" s="6" t="s">
        <v>924</v>
      </c>
      <c r="B11" s="6" t="s">
        <v>48</v>
      </c>
      <c r="C11" s="7" t="s">
        <v>925</v>
      </c>
      <c r="D11" s="7" t="s">
        <v>926</v>
      </c>
      <c r="E11" s="6" t="s">
        <v>734</v>
      </c>
      <c r="F11" s="6" t="s">
        <v>927</v>
      </c>
      <c r="G11" s="6" t="s">
        <v>928</v>
      </c>
      <c r="H11" s="6" t="s">
        <v>929</v>
      </c>
      <c r="I11" s="6" t="s">
        <v>307</v>
      </c>
      <c r="J11" s="6" t="s">
        <v>873</v>
      </c>
      <c r="K11" s="6" t="s">
        <v>891</v>
      </c>
      <c r="L11" s="7" t="s">
        <v>930</v>
      </c>
      <c r="M11" s="8"/>
      <c r="N11" s="8"/>
    </row>
    <row r="12" spans="1:14" ht="25" x14ac:dyDescent="0.35">
      <c r="A12" s="6" t="s">
        <v>931</v>
      </c>
      <c r="B12" s="6" t="s">
        <v>48</v>
      </c>
      <c r="C12" s="7" t="s">
        <v>932</v>
      </c>
      <c r="D12" s="7" t="s">
        <v>933</v>
      </c>
      <c r="E12" s="6" t="s">
        <v>734</v>
      </c>
      <c r="F12" s="6" t="s">
        <v>934</v>
      </c>
      <c r="G12" s="6" t="s">
        <v>935</v>
      </c>
      <c r="H12" s="6" t="s">
        <v>936</v>
      </c>
      <c r="I12" s="6" t="s">
        <v>937</v>
      </c>
      <c r="J12" s="6" t="s">
        <v>873</v>
      </c>
      <c r="K12" s="6" t="s">
        <v>874</v>
      </c>
      <c r="L12" s="7" t="s">
        <v>938</v>
      </c>
      <c r="M12" s="8"/>
      <c r="N12" s="8"/>
    </row>
    <row r="13" spans="1:14" ht="25" x14ac:dyDescent="0.35">
      <c r="A13" s="6" t="s">
        <v>939</v>
      </c>
      <c r="B13" s="6" t="s">
        <v>48</v>
      </c>
      <c r="C13" s="7" t="s">
        <v>940</v>
      </c>
      <c r="D13" s="7" t="s">
        <v>941</v>
      </c>
      <c r="E13" s="6" t="s">
        <v>734</v>
      </c>
      <c r="F13" s="6" t="s">
        <v>942</v>
      </c>
      <c r="G13" s="6" t="s">
        <v>159</v>
      </c>
      <c r="H13" s="6" t="s">
        <v>158</v>
      </c>
      <c r="I13" s="6" t="s">
        <v>794</v>
      </c>
      <c r="J13" s="6" t="s">
        <v>864</v>
      </c>
      <c r="K13" s="6" t="s">
        <v>865</v>
      </c>
      <c r="L13" s="7"/>
      <c r="M13" s="8"/>
      <c r="N13" s="8"/>
    </row>
    <row r="14" spans="1:14" x14ac:dyDescent="0.35">
      <c r="A14" s="6" t="s">
        <v>943</v>
      </c>
      <c r="B14" s="6" t="s">
        <v>48</v>
      </c>
      <c r="C14" s="7" t="s">
        <v>944</v>
      </c>
      <c r="D14" s="7" t="s">
        <v>945</v>
      </c>
      <c r="E14" s="6" t="s">
        <v>946</v>
      </c>
      <c r="F14" s="6" t="s">
        <v>947</v>
      </c>
      <c r="G14" s="6" t="s">
        <v>92</v>
      </c>
      <c r="H14" s="6" t="s">
        <v>91</v>
      </c>
      <c r="I14" s="6" t="s">
        <v>948</v>
      </c>
      <c r="J14" s="6" t="s">
        <v>884</v>
      </c>
      <c r="K14" s="6" t="s">
        <v>865</v>
      </c>
      <c r="L14" s="7" t="s">
        <v>949</v>
      </c>
      <c r="M14" s="8"/>
      <c r="N14" s="8"/>
    </row>
    <row r="15" spans="1:14" ht="25" x14ac:dyDescent="0.35">
      <c r="A15" s="6" t="s">
        <v>950</v>
      </c>
      <c r="B15" s="6" t="s">
        <v>48</v>
      </c>
      <c r="C15" s="7" t="s">
        <v>951</v>
      </c>
      <c r="D15" s="7" t="s">
        <v>952</v>
      </c>
      <c r="E15" s="6" t="s">
        <v>946</v>
      </c>
      <c r="F15" s="6" t="s">
        <v>953</v>
      </c>
      <c r="G15" s="6" t="s">
        <v>954</v>
      </c>
      <c r="H15" s="6" t="s">
        <v>955</v>
      </c>
      <c r="I15" s="6" t="s">
        <v>948</v>
      </c>
      <c r="J15" s="6" t="s">
        <v>884</v>
      </c>
      <c r="K15" s="6" t="s">
        <v>891</v>
      </c>
      <c r="L15" s="7"/>
      <c r="M15" s="8"/>
      <c r="N15" s="8"/>
    </row>
    <row r="16" spans="1:14" x14ac:dyDescent="0.35">
      <c r="A16" s="6" t="s">
        <v>956</v>
      </c>
      <c r="B16" s="6" t="s">
        <v>48</v>
      </c>
      <c r="C16" s="7" t="s">
        <v>957</v>
      </c>
      <c r="D16" s="7" t="s">
        <v>958</v>
      </c>
      <c r="E16" s="6" t="s">
        <v>946</v>
      </c>
      <c r="F16" s="6" t="s">
        <v>959</v>
      </c>
      <c r="G16" s="6" t="s">
        <v>172</v>
      </c>
      <c r="H16" s="6" t="s">
        <v>171</v>
      </c>
      <c r="I16" s="6" t="s">
        <v>948</v>
      </c>
      <c r="J16" s="6" t="s">
        <v>873</v>
      </c>
      <c r="K16" s="6" t="s">
        <v>865</v>
      </c>
      <c r="L16" s="7" t="s">
        <v>960</v>
      </c>
      <c r="M16" s="8"/>
      <c r="N16" s="8"/>
    </row>
    <row r="17" spans="1:14" ht="25" x14ac:dyDescent="0.35">
      <c r="A17" s="6" t="s">
        <v>961</v>
      </c>
      <c r="B17" s="6" t="s">
        <v>48</v>
      </c>
      <c r="C17" s="7" t="s">
        <v>962</v>
      </c>
      <c r="D17" s="7" t="s">
        <v>963</v>
      </c>
      <c r="E17" s="6" t="s">
        <v>734</v>
      </c>
      <c r="F17" s="6" t="s">
        <v>964</v>
      </c>
      <c r="G17" s="6" t="s">
        <v>965</v>
      </c>
      <c r="H17" s="6" t="s">
        <v>966</v>
      </c>
      <c r="I17" s="6" t="s">
        <v>967</v>
      </c>
      <c r="J17" s="6" t="s">
        <v>873</v>
      </c>
      <c r="K17" s="6" t="s">
        <v>865</v>
      </c>
      <c r="L17" s="7"/>
      <c r="M17" s="8"/>
      <c r="N17" s="8"/>
    </row>
    <row r="18" spans="1:14" x14ac:dyDescent="0.35">
      <c r="A18" s="6" t="s">
        <v>968</v>
      </c>
      <c r="B18" s="6" t="s">
        <v>48</v>
      </c>
      <c r="C18" s="7" t="s">
        <v>969</v>
      </c>
      <c r="D18" s="7" t="s">
        <v>970</v>
      </c>
      <c r="E18" s="6" t="s">
        <v>734</v>
      </c>
      <c r="F18" s="6" t="s">
        <v>971</v>
      </c>
      <c r="G18" s="6" t="s">
        <v>972</v>
      </c>
      <c r="H18" s="6" t="s">
        <v>973</v>
      </c>
      <c r="I18" s="6" t="s">
        <v>974</v>
      </c>
      <c r="J18" s="6" t="s">
        <v>864</v>
      </c>
      <c r="K18" s="6" t="s">
        <v>865</v>
      </c>
      <c r="L18" s="7" t="s">
        <v>975</v>
      </c>
      <c r="M18" s="8"/>
      <c r="N18" s="8"/>
    </row>
    <row r="19" spans="1:14" ht="25" x14ac:dyDescent="0.35">
      <c r="A19" s="6" t="s">
        <v>976</v>
      </c>
      <c r="B19" s="6" t="s">
        <v>48</v>
      </c>
      <c r="C19" s="7" t="s">
        <v>977</v>
      </c>
      <c r="D19" s="7" t="s">
        <v>978</v>
      </c>
      <c r="E19" s="6" t="s">
        <v>979</v>
      </c>
      <c r="F19" s="6" t="s">
        <v>196</v>
      </c>
      <c r="G19" s="6" t="s">
        <v>980</v>
      </c>
      <c r="H19" s="6" t="s">
        <v>981</v>
      </c>
      <c r="I19" s="6" t="s">
        <v>212</v>
      </c>
      <c r="J19" s="6" t="s">
        <v>873</v>
      </c>
      <c r="K19" s="6" t="s">
        <v>874</v>
      </c>
      <c r="L19" s="7" t="s">
        <v>982</v>
      </c>
      <c r="M19" s="8"/>
      <c r="N19" s="8"/>
    </row>
    <row r="20" spans="1:14" ht="25" x14ac:dyDescent="0.35">
      <c r="A20" s="6" t="s">
        <v>983</v>
      </c>
      <c r="B20" s="6" t="s">
        <v>48</v>
      </c>
      <c r="C20" s="7" t="s">
        <v>984</v>
      </c>
      <c r="D20" s="7" t="s">
        <v>985</v>
      </c>
      <c r="E20" s="6" t="s">
        <v>734</v>
      </c>
      <c r="F20" s="6" t="s">
        <v>971</v>
      </c>
      <c r="G20" s="6" t="s">
        <v>986</v>
      </c>
      <c r="H20" s="6" t="s">
        <v>987</v>
      </c>
      <c r="I20" s="6" t="s">
        <v>988</v>
      </c>
      <c r="J20" s="6" t="s">
        <v>864</v>
      </c>
      <c r="K20" s="6" t="s">
        <v>891</v>
      </c>
      <c r="L20" s="7"/>
      <c r="M20" s="8"/>
      <c r="N20" s="8"/>
    </row>
    <row r="21" spans="1:14" ht="25" x14ac:dyDescent="0.35">
      <c r="A21" s="6" t="s">
        <v>989</v>
      </c>
      <c r="B21" s="6" t="s">
        <v>48</v>
      </c>
      <c r="C21" s="7" t="s">
        <v>990</v>
      </c>
      <c r="D21" s="7" t="s">
        <v>991</v>
      </c>
      <c r="E21" s="6" t="s">
        <v>734</v>
      </c>
      <c r="F21" s="6" t="s">
        <v>992</v>
      </c>
      <c r="G21" s="6" t="s">
        <v>993</v>
      </c>
      <c r="H21" s="6" t="s">
        <v>994</v>
      </c>
      <c r="I21" s="6" t="s">
        <v>236</v>
      </c>
      <c r="J21" s="6" t="s">
        <v>873</v>
      </c>
      <c r="K21" s="6" t="s">
        <v>874</v>
      </c>
      <c r="L21" s="7"/>
      <c r="M21" s="8"/>
      <c r="N21" s="8"/>
    </row>
    <row r="22" spans="1:14" ht="25" x14ac:dyDescent="0.35">
      <c r="A22" s="6" t="s">
        <v>995</v>
      </c>
      <c r="B22" s="6" t="s">
        <v>48</v>
      </c>
      <c r="C22" s="7" t="s">
        <v>996</v>
      </c>
      <c r="D22" s="7" t="s">
        <v>997</v>
      </c>
      <c r="E22" s="6" t="s">
        <v>734</v>
      </c>
      <c r="F22" s="6" t="s">
        <v>998</v>
      </c>
      <c r="G22" s="6" t="s">
        <v>224</v>
      </c>
      <c r="H22" s="6" t="s">
        <v>223</v>
      </c>
      <c r="I22" s="6" t="s">
        <v>999</v>
      </c>
      <c r="J22" s="6" t="s">
        <v>873</v>
      </c>
      <c r="K22" s="6" t="s">
        <v>874</v>
      </c>
      <c r="L22" s="7"/>
      <c r="M22" s="8"/>
      <c r="N22" s="8"/>
    </row>
    <row r="23" spans="1:14" ht="25" x14ac:dyDescent="0.35">
      <c r="A23" s="6" t="s">
        <v>1000</v>
      </c>
      <c r="B23" s="6" t="s">
        <v>48</v>
      </c>
      <c r="C23" s="7" t="s">
        <v>1001</v>
      </c>
      <c r="D23" s="7" t="s">
        <v>1002</v>
      </c>
      <c r="E23" s="6" t="s">
        <v>734</v>
      </c>
      <c r="F23" s="6" t="s">
        <v>1003</v>
      </c>
      <c r="G23" s="6" t="s">
        <v>1004</v>
      </c>
      <c r="H23" s="6" t="s">
        <v>1005</v>
      </c>
      <c r="I23" s="6" t="s">
        <v>1006</v>
      </c>
      <c r="J23" s="6" t="s">
        <v>873</v>
      </c>
      <c r="K23" s="6" t="s">
        <v>874</v>
      </c>
      <c r="L23" s="7"/>
      <c r="M23" s="8"/>
      <c r="N23" s="8"/>
    </row>
    <row r="24" spans="1:14" ht="25" x14ac:dyDescent="0.35">
      <c r="A24" s="6" t="s">
        <v>1007</v>
      </c>
      <c r="B24" s="6" t="s">
        <v>48</v>
      </c>
      <c r="C24" s="7" t="s">
        <v>1008</v>
      </c>
      <c r="D24" s="7" t="s">
        <v>1009</v>
      </c>
      <c r="E24" s="6" t="s">
        <v>734</v>
      </c>
      <c r="F24" s="6" t="s">
        <v>1010</v>
      </c>
      <c r="G24" s="6" t="s">
        <v>1011</v>
      </c>
      <c r="H24" s="6" t="s">
        <v>1012</v>
      </c>
      <c r="I24" s="6" t="s">
        <v>157</v>
      </c>
      <c r="J24" s="6" t="s">
        <v>873</v>
      </c>
      <c r="K24" s="6" t="s">
        <v>865</v>
      </c>
      <c r="L24" s="7"/>
      <c r="M24" s="8"/>
      <c r="N24" s="8"/>
    </row>
    <row r="25" spans="1:14" ht="25" x14ac:dyDescent="0.35">
      <c r="A25" s="6" t="s">
        <v>1013</v>
      </c>
      <c r="B25" s="6" t="s">
        <v>48</v>
      </c>
      <c r="C25" s="7" t="s">
        <v>1014</v>
      </c>
      <c r="D25" s="7" t="s">
        <v>1015</v>
      </c>
      <c r="E25" s="6" t="s">
        <v>946</v>
      </c>
      <c r="F25" s="6" t="s">
        <v>177</v>
      </c>
      <c r="G25" s="6" t="s">
        <v>1016</v>
      </c>
      <c r="H25" s="6" t="s">
        <v>1017</v>
      </c>
      <c r="I25" s="6" t="s">
        <v>948</v>
      </c>
      <c r="J25" s="6" t="s">
        <v>873</v>
      </c>
      <c r="K25" s="6" t="s">
        <v>891</v>
      </c>
      <c r="L25" s="7" t="s">
        <v>1018</v>
      </c>
      <c r="M25" s="8"/>
      <c r="N25" s="8"/>
    </row>
    <row r="26" spans="1:14" ht="25" x14ac:dyDescent="0.35">
      <c r="A26" s="6" t="s">
        <v>1019</v>
      </c>
      <c r="B26" s="6" t="s">
        <v>48</v>
      </c>
      <c r="C26" s="7" t="s">
        <v>1020</v>
      </c>
      <c r="D26" s="7" t="s">
        <v>1021</v>
      </c>
      <c r="E26" s="6" t="s">
        <v>734</v>
      </c>
      <c r="F26" s="6" t="s">
        <v>1022</v>
      </c>
      <c r="G26" s="6" t="s">
        <v>1023</v>
      </c>
      <c r="H26" s="6" t="s">
        <v>1024</v>
      </c>
      <c r="I26" s="6" t="s">
        <v>157</v>
      </c>
      <c r="J26" s="6" t="s">
        <v>873</v>
      </c>
      <c r="K26" s="6" t="s">
        <v>865</v>
      </c>
      <c r="L26" s="7"/>
      <c r="M26" s="8"/>
      <c r="N26" s="8"/>
    </row>
    <row r="27" spans="1:14" ht="25" x14ac:dyDescent="0.35">
      <c r="A27" s="6" t="s">
        <v>1025</v>
      </c>
      <c r="B27" s="6" t="s">
        <v>48</v>
      </c>
      <c r="C27" s="7" t="s">
        <v>1026</v>
      </c>
      <c r="D27" s="7" t="s">
        <v>1027</v>
      </c>
      <c r="E27" s="6" t="s">
        <v>734</v>
      </c>
      <c r="F27" s="6" t="s">
        <v>1028</v>
      </c>
      <c r="G27" s="6" t="s">
        <v>1029</v>
      </c>
      <c r="H27" s="6" t="s">
        <v>1030</v>
      </c>
      <c r="I27" s="6" t="s">
        <v>307</v>
      </c>
      <c r="J27" s="6" t="s">
        <v>864</v>
      </c>
      <c r="K27" s="6" t="s">
        <v>874</v>
      </c>
      <c r="L27" s="7" t="s">
        <v>1031</v>
      </c>
      <c r="M27" s="8"/>
      <c r="N27" s="8"/>
    </row>
    <row r="28" spans="1:14" ht="25" x14ac:dyDescent="0.35">
      <c r="A28" s="6" t="s">
        <v>1032</v>
      </c>
      <c r="B28" s="6" t="s">
        <v>48</v>
      </c>
      <c r="C28" s="7" t="s">
        <v>1033</v>
      </c>
      <c r="D28" s="7" t="s">
        <v>1034</v>
      </c>
      <c r="E28" s="6" t="s">
        <v>734</v>
      </c>
      <c r="F28" s="6" t="s">
        <v>1035</v>
      </c>
      <c r="G28" s="6" t="s">
        <v>1036</v>
      </c>
      <c r="H28" s="6" t="s">
        <v>1037</v>
      </c>
      <c r="I28" s="6" t="s">
        <v>307</v>
      </c>
      <c r="J28" s="6" t="s">
        <v>873</v>
      </c>
      <c r="K28" s="6" t="s">
        <v>865</v>
      </c>
      <c r="L28" s="7"/>
      <c r="M28" s="8"/>
      <c r="N28" s="8"/>
    </row>
    <row r="29" spans="1:14" ht="25" x14ac:dyDescent="0.35">
      <c r="A29" s="6" t="s">
        <v>1038</v>
      </c>
      <c r="B29" s="6" t="s">
        <v>48</v>
      </c>
      <c r="C29" s="7" t="s">
        <v>1039</v>
      </c>
      <c r="D29" s="7" t="s">
        <v>1040</v>
      </c>
      <c r="E29" s="6" t="s">
        <v>734</v>
      </c>
      <c r="F29" s="6" t="s">
        <v>337</v>
      </c>
      <c r="G29" s="6" t="s">
        <v>1041</v>
      </c>
      <c r="H29" s="6" t="s">
        <v>1042</v>
      </c>
      <c r="I29" s="6" t="s">
        <v>1006</v>
      </c>
      <c r="J29" s="6" t="s">
        <v>873</v>
      </c>
      <c r="K29" s="6" t="s">
        <v>874</v>
      </c>
      <c r="L29" s="7"/>
      <c r="M29" s="8"/>
      <c r="N29" s="8"/>
    </row>
    <row r="30" spans="1:14" x14ac:dyDescent="0.35">
      <c r="A30" s="6" t="s">
        <v>1043</v>
      </c>
      <c r="B30" s="6" t="s">
        <v>48</v>
      </c>
      <c r="C30" s="7" t="s">
        <v>1044</v>
      </c>
      <c r="D30" s="7" t="s">
        <v>1045</v>
      </c>
      <c r="E30" s="6" t="s">
        <v>879</v>
      </c>
      <c r="F30" s="6" t="s">
        <v>1046</v>
      </c>
      <c r="G30" s="6" t="s">
        <v>342</v>
      </c>
      <c r="H30" s="6" t="s">
        <v>341</v>
      </c>
      <c r="I30" s="6" t="s">
        <v>1047</v>
      </c>
      <c r="J30" s="6" t="s">
        <v>873</v>
      </c>
      <c r="K30" s="6" t="s">
        <v>874</v>
      </c>
      <c r="L30" s="7" t="s">
        <v>1048</v>
      </c>
      <c r="M30" s="8"/>
      <c r="N30" s="8"/>
    </row>
    <row r="31" spans="1:14" ht="25" x14ac:dyDescent="0.35">
      <c r="A31" s="6" t="s">
        <v>1049</v>
      </c>
      <c r="B31" s="6" t="s">
        <v>48</v>
      </c>
      <c r="C31" s="7" t="s">
        <v>1050</v>
      </c>
      <c r="D31" s="7" t="s">
        <v>1051</v>
      </c>
      <c r="E31" s="6" t="s">
        <v>879</v>
      </c>
      <c r="F31" s="6" t="s">
        <v>1052</v>
      </c>
      <c r="G31" s="6" t="s">
        <v>1053</v>
      </c>
      <c r="H31" s="6" t="s">
        <v>1054</v>
      </c>
      <c r="I31" s="6" t="s">
        <v>1055</v>
      </c>
      <c r="J31" s="6" t="s">
        <v>873</v>
      </c>
      <c r="K31" s="6" t="s">
        <v>865</v>
      </c>
      <c r="L31" s="7" t="s">
        <v>1056</v>
      </c>
      <c r="M31" s="8"/>
      <c r="N31" s="8"/>
    </row>
    <row r="32" spans="1:14" x14ac:dyDescent="0.35">
      <c r="A32" s="6" t="s">
        <v>1057</v>
      </c>
      <c r="B32" s="6" t="s">
        <v>48</v>
      </c>
      <c r="C32" s="7" t="s">
        <v>1058</v>
      </c>
      <c r="D32" s="7" t="s">
        <v>1059</v>
      </c>
      <c r="E32" s="6" t="s">
        <v>734</v>
      </c>
      <c r="F32" s="6" t="s">
        <v>1060</v>
      </c>
      <c r="G32" s="6" t="s">
        <v>1061</v>
      </c>
      <c r="H32" s="6" t="s">
        <v>1062</v>
      </c>
      <c r="I32" s="6" t="s">
        <v>988</v>
      </c>
      <c r="J32" s="6" t="s">
        <v>864</v>
      </c>
      <c r="K32" s="6" t="s">
        <v>865</v>
      </c>
      <c r="L32" s="7"/>
      <c r="M32" s="8"/>
      <c r="N32" s="8"/>
    </row>
    <row r="33" spans="1:14" x14ac:dyDescent="0.35">
      <c r="A33" s="6" t="s">
        <v>1063</v>
      </c>
      <c r="B33" s="6" t="s">
        <v>48</v>
      </c>
      <c r="C33" s="7" t="s">
        <v>1064</v>
      </c>
      <c r="D33" s="7" t="s">
        <v>1065</v>
      </c>
      <c r="E33" s="6" t="s">
        <v>734</v>
      </c>
      <c r="F33" s="6" t="s">
        <v>1066</v>
      </c>
      <c r="G33" s="6" t="s">
        <v>1067</v>
      </c>
      <c r="H33" s="6" t="s">
        <v>1068</v>
      </c>
      <c r="I33" s="6" t="s">
        <v>1069</v>
      </c>
      <c r="J33" s="6" t="s">
        <v>1070</v>
      </c>
      <c r="K33" s="6" t="s">
        <v>891</v>
      </c>
      <c r="L33" s="7" t="s">
        <v>1071</v>
      </c>
      <c r="M33" s="8"/>
      <c r="N33" s="8"/>
    </row>
    <row r="34" spans="1:14" x14ac:dyDescent="0.35">
      <c r="A34" s="6" t="s">
        <v>1072</v>
      </c>
      <c r="B34" s="6" t="s">
        <v>48</v>
      </c>
      <c r="C34" s="7" t="s">
        <v>1073</v>
      </c>
      <c r="D34" s="7" t="s">
        <v>1074</v>
      </c>
      <c r="E34" s="6" t="s">
        <v>734</v>
      </c>
      <c r="F34" s="6" t="s">
        <v>1075</v>
      </c>
      <c r="G34" s="6" t="s">
        <v>1076</v>
      </c>
      <c r="H34" s="6" t="s">
        <v>1077</v>
      </c>
      <c r="I34" s="6" t="s">
        <v>1078</v>
      </c>
      <c r="J34" s="6" t="s">
        <v>864</v>
      </c>
      <c r="K34" s="6" t="s">
        <v>865</v>
      </c>
      <c r="L34" s="7"/>
      <c r="M34" s="8"/>
      <c r="N34" s="8"/>
    </row>
    <row r="35" spans="1:14" x14ac:dyDescent="0.35">
      <c r="A35" s="6" t="s">
        <v>1079</v>
      </c>
      <c r="B35" s="6" t="s">
        <v>48</v>
      </c>
      <c r="C35" s="7" t="s">
        <v>1080</v>
      </c>
      <c r="D35" s="7" t="s">
        <v>1081</v>
      </c>
      <c r="E35" s="6" t="s">
        <v>734</v>
      </c>
      <c r="F35" s="6" t="s">
        <v>1082</v>
      </c>
      <c r="G35" s="6" t="s">
        <v>1083</v>
      </c>
      <c r="H35" s="6" t="s">
        <v>1084</v>
      </c>
      <c r="I35" s="6" t="s">
        <v>967</v>
      </c>
      <c r="J35" s="6" t="s">
        <v>873</v>
      </c>
      <c r="K35" s="6" t="s">
        <v>874</v>
      </c>
      <c r="L35" s="7"/>
      <c r="M35" s="8"/>
      <c r="N35" s="8"/>
    </row>
    <row r="36" spans="1:14" ht="25" x14ac:dyDescent="0.35">
      <c r="A36" s="6" t="s">
        <v>1085</v>
      </c>
      <c r="B36" s="6" t="s">
        <v>48</v>
      </c>
      <c r="C36" s="7" t="s">
        <v>1086</v>
      </c>
      <c r="D36" s="7" t="s">
        <v>1087</v>
      </c>
      <c r="E36" s="6" t="s">
        <v>734</v>
      </c>
      <c r="F36" s="6" t="s">
        <v>1088</v>
      </c>
      <c r="G36" s="6" t="s">
        <v>1089</v>
      </c>
      <c r="H36" s="6" t="s">
        <v>1090</v>
      </c>
      <c r="I36" s="6" t="s">
        <v>967</v>
      </c>
      <c r="J36" s="6" t="s">
        <v>873</v>
      </c>
      <c r="K36" s="6" t="s">
        <v>865</v>
      </c>
      <c r="L36" s="7"/>
      <c r="M36" s="8"/>
      <c r="N36" s="8"/>
    </row>
    <row r="37" spans="1:14" ht="25" x14ac:dyDescent="0.35">
      <c r="A37" s="6" t="s">
        <v>1091</v>
      </c>
      <c r="B37" s="6" t="s">
        <v>48</v>
      </c>
      <c r="C37" s="7" t="s">
        <v>1092</v>
      </c>
      <c r="D37" s="7" t="s">
        <v>1093</v>
      </c>
      <c r="E37" s="6" t="s">
        <v>734</v>
      </c>
      <c r="F37" s="6" t="s">
        <v>1094</v>
      </c>
      <c r="G37" s="6" t="s">
        <v>1095</v>
      </c>
      <c r="H37" s="6" t="s">
        <v>1096</v>
      </c>
      <c r="I37" s="6" t="s">
        <v>255</v>
      </c>
      <c r="J37" s="6" t="s">
        <v>873</v>
      </c>
      <c r="K37" s="6" t="s">
        <v>865</v>
      </c>
      <c r="L37" s="7" t="s">
        <v>1097</v>
      </c>
      <c r="M37" s="8"/>
      <c r="N37" s="8"/>
    </row>
    <row r="38" spans="1:14" ht="25" x14ac:dyDescent="0.35">
      <c r="A38" s="6" t="s">
        <v>1098</v>
      </c>
      <c r="B38" s="6" t="s">
        <v>48</v>
      </c>
      <c r="C38" s="7" t="s">
        <v>1099</v>
      </c>
      <c r="D38" s="7" t="s">
        <v>1100</v>
      </c>
      <c r="E38" s="6" t="s">
        <v>734</v>
      </c>
      <c r="F38" s="6" t="s">
        <v>1101</v>
      </c>
      <c r="G38" s="6" t="s">
        <v>1102</v>
      </c>
      <c r="H38" s="6" t="s">
        <v>1103</v>
      </c>
      <c r="I38" s="6" t="s">
        <v>813</v>
      </c>
      <c r="J38" s="6" t="s">
        <v>1070</v>
      </c>
      <c r="K38" s="6" t="s">
        <v>891</v>
      </c>
      <c r="L38" s="7"/>
      <c r="M38" s="8"/>
      <c r="N38" s="8"/>
    </row>
    <row r="39" spans="1:14" ht="25" x14ac:dyDescent="0.35">
      <c r="A39" s="6" t="s">
        <v>1104</v>
      </c>
      <c r="B39" s="6" t="s">
        <v>48</v>
      </c>
      <c r="C39" s="7" t="s">
        <v>1105</v>
      </c>
      <c r="D39" s="7" t="s">
        <v>1106</v>
      </c>
      <c r="E39" s="6" t="s">
        <v>734</v>
      </c>
      <c r="F39" s="6" t="s">
        <v>1107</v>
      </c>
      <c r="G39" s="6" t="s">
        <v>224</v>
      </c>
      <c r="H39" s="6" t="s">
        <v>223</v>
      </c>
      <c r="I39" s="6" t="s">
        <v>135</v>
      </c>
      <c r="J39" s="6" t="s">
        <v>873</v>
      </c>
      <c r="K39" s="6" t="s">
        <v>865</v>
      </c>
      <c r="L39" s="7"/>
      <c r="M39" s="8"/>
      <c r="N39" s="8"/>
    </row>
    <row r="40" spans="1:14" ht="25" x14ac:dyDescent="0.35">
      <c r="A40" s="6" t="s">
        <v>1108</v>
      </c>
      <c r="B40" s="6" t="s">
        <v>48</v>
      </c>
      <c r="C40" s="7" t="s">
        <v>1109</v>
      </c>
      <c r="D40" s="7" t="s">
        <v>1110</v>
      </c>
      <c r="E40" s="6" t="s">
        <v>879</v>
      </c>
      <c r="F40" s="6" t="s">
        <v>1111</v>
      </c>
      <c r="G40" s="6" t="s">
        <v>501</v>
      </c>
      <c r="H40" s="6" t="s">
        <v>500</v>
      </c>
      <c r="I40" s="6" t="s">
        <v>1055</v>
      </c>
      <c r="J40" s="6" t="s">
        <v>873</v>
      </c>
      <c r="K40" s="6" t="s">
        <v>874</v>
      </c>
      <c r="L40" s="7"/>
      <c r="M40" s="8"/>
      <c r="N40" s="8"/>
    </row>
    <row r="41" spans="1:14" ht="25" x14ac:dyDescent="0.35">
      <c r="A41" s="6" t="s">
        <v>1112</v>
      </c>
      <c r="B41" s="6" t="s">
        <v>48</v>
      </c>
      <c r="C41" s="7" t="s">
        <v>1113</v>
      </c>
      <c r="D41" s="7" t="s">
        <v>1114</v>
      </c>
      <c r="E41" s="6" t="s">
        <v>734</v>
      </c>
      <c r="F41" s="6" t="s">
        <v>1115</v>
      </c>
      <c r="G41" s="6" t="s">
        <v>1116</v>
      </c>
      <c r="H41" s="6" t="s">
        <v>1117</v>
      </c>
      <c r="I41" s="6" t="s">
        <v>813</v>
      </c>
      <c r="J41" s="6" t="s">
        <v>873</v>
      </c>
      <c r="K41" s="6" t="s">
        <v>865</v>
      </c>
      <c r="L41" s="7"/>
      <c r="M41" s="8"/>
      <c r="N41" s="8"/>
    </row>
    <row r="42" spans="1:14" ht="25" x14ac:dyDescent="0.35">
      <c r="A42" s="6" t="s">
        <v>1118</v>
      </c>
      <c r="B42" s="6" t="s">
        <v>48</v>
      </c>
      <c r="C42" s="7" t="s">
        <v>1119</v>
      </c>
      <c r="D42" s="7" t="s">
        <v>1120</v>
      </c>
      <c r="E42" s="6" t="s">
        <v>946</v>
      </c>
      <c r="F42" s="6" t="s">
        <v>1121</v>
      </c>
      <c r="G42" s="6" t="s">
        <v>1122</v>
      </c>
      <c r="H42" s="6" t="s">
        <v>1123</v>
      </c>
      <c r="I42" s="6" t="s">
        <v>1124</v>
      </c>
      <c r="J42" s="6" t="s">
        <v>873</v>
      </c>
      <c r="K42" s="6" t="s">
        <v>891</v>
      </c>
      <c r="L42" s="7" t="s">
        <v>1125</v>
      </c>
      <c r="M42" s="8"/>
      <c r="N42" s="8"/>
    </row>
    <row r="43" spans="1:14" ht="25" x14ac:dyDescent="0.35">
      <c r="A43" s="6" t="s">
        <v>1126</v>
      </c>
      <c r="B43" s="6" t="s">
        <v>48</v>
      </c>
      <c r="C43" s="7" t="s">
        <v>1127</v>
      </c>
      <c r="D43" s="7" t="s">
        <v>1128</v>
      </c>
      <c r="E43" s="6" t="s">
        <v>734</v>
      </c>
      <c r="F43" s="6" t="s">
        <v>1129</v>
      </c>
      <c r="G43" s="6" t="s">
        <v>1130</v>
      </c>
      <c r="H43" s="6" t="s">
        <v>1131</v>
      </c>
      <c r="I43" s="6" t="s">
        <v>905</v>
      </c>
      <c r="J43" s="6" t="s">
        <v>864</v>
      </c>
      <c r="K43" s="6" t="s">
        <v>865</v>
      </c>
      <c r="L43" s="7"/>
      <c r="M43" s="8"/>
      <c r="N43" s="8"/>
    </row>
    <row r="44" spans="1:14" ht="25" x14ac:dyDescent="0.35">
      <c r="A44" s="6" t="s">
        <v>1132</v>
      </c>
      <c r="B44" s="6" t="s">
        <v>48</v>
      </c>
      <c r="C44" s="7" t="s">
        <v>1133</v>
      </c>
      <c r="D44" s="7" t="s">
        <v>1134</v>
      </c>
      <c r="E44" s="6" t="s">
        <v>734</v>
      </c>
      <c r="F44" s="6" t="s">
        <v>1135</v>
      </c>
      <c r="G44" s="6" t="s">
        <v>1136</v>
      </c>
      <c r="H44" s="6" t="s">
        <v>1137</v>
      </c>
      <c r="I44" s="6" t="s">
        <v>794</v>
      </c>
      <c r="J44" s="6" t="s">
        <v>873</v>
      </c>
      <c r="K44" s="6" t="s">
        <v>865</v>
      </c>
      <c r="L44" s="7" t="s">
        <v>1138</v>
      </c>
      <c r="M44" s="8"/>
      <c r="N44" s="8"/>
    </row>
    <row r="45" spans="1:14" ht="25" x14ac:dyDescent="0.35">
      <c r="A45" s="6" t="s">
        <v>1139</v>
      </c>
      <c r="B45" s="6" t="s">
        <v>48</v>
      </c>
      <c r="C45" s="7" t="s">
        <v>1140</v>
      </c>
      <c r="D45" s="7" t="s">
        <v>1141</v>
      </c>
      <c r="E45" s="6" t="s">
        <v>734</v>
      </c>
      <c r="F45" s="6" t="s">
        <v>461</v>
      </c>
      <c r="G45" s="6" t="s">
        <v>458</v>
      </c>
      <c r="H45" s="6" t="s">
        <v>457</v>
      </c>
      <c r="I45" s="6" t="s">
        <v>905</v>
      </c>
      <c r="J45" s="6" t="s">
        <v>864</v>
      </c>
      <c r="K45" s="6" t="s">
        <v>865</v>
      </c>
      <c r="L45" s="7"/>
      <c r="M45" s="8"/>
      <c r="N45" s="8"/>
    </row>
    <row r="46" spans="1:14" x14ac:dyDescent="0.35">
      <c r="A46" s="6" t="s">
        <v>1142</v>
      </c>
      <c r="B46" s="6" t="s">
        <v>48</v>
      </c>
      <c r="C46" s="7" t="s">
        <v>1143</v>
      </c>
      <c r="D46" s="7" t="s">
        <v>1144</v>
      </c>
      <c r="E46" s="6" t="s">
        <v>734</v>
      </c>
      <c r="F46" s="6" t="s">
        <v>490</v>
      </c>
      <c r="G46" s="6" t="s">
        <v>1145</v>
      </c>
      <c r="H46" s="6" t="s">
        <v>1146</v>
      </c>
      <c r="I46" s="6" t="s">
        <v>1147</v>
      </c>
      <c r="J46" s="6" t="s">
        <v>873</v>
      </c>
      <c r="K46" s="6" t="s">
        <v>891</v>
      </c>
      <c r="L46" s="7" t="s">
        <v>1148</v>
      </c>
      <c r="M46" s="8"/>
      <c r="N46" s="8"/>
    </row>
    <row r="47" spans="1:14" ht="25" x14ac:dyDescent="0.35">
      <c r="A47" s="6" t="s">
        <v>1149</v>
      </c>
      <c r="B47" s="6" t="s">
        <v>48</v>
      </c>
      <c r="C47" s="7" t="s">
        <v>1150</v>
      </c>
      <c r="D47" s="7" t="s">
        <v>1151</v>
      </c>
      <c r="E47" s="6" t="s">
        <v>1152</v>
      </c>
      <c r="F47" s="6" t="s">
        <v>1153</v>
      </c>
      <c r="G47" s="6" t="s">
        <v>1154</v>
      </c>
      <c r="H47" s="6" t="s">
        <v>1155</v>
      </c>
      <c r="I47" s="6" t="s">
        <v>1156</v>
      </c>
      <c r="J47" s="6" t="s">
        <v>884</v>
      </c>
      <c r="K47" s="6" t="s">
        <v>865</v>
      </c>
      <c r="L47" s="7" t="s">
        <v>1157</v>
      </c>
      <c r="M47" s="8"/>
      <c r="N47" s="8"/>
    </row>
    <row r="48" spans="1:14" x14ac:dyDescent="0.35">
      <c r="A48" s="6" t="s">
        <v>1158</v>
      </c>
      <c r="B48" s="6" t="s">
        <v>48</v>
      </c>
      <c r="C48" s="7" t="s">
        <v>1159</v>
      </c>
      <c r="D48" s="7" t="s">
        <v>1160</v>
      </c>
      <c r="E48" s="6" t="s">
        <v>879</v>
      </c>
      <c r="F48" s="6" t="s">
        <v>1161</v>
      </c>
      <c r="G48" s="6" t="s">
        <v>372</v>
      </c>
      <c r="H48" s="6" t="s">
        <v>371</v>
      </c>
      <c r="I48" s="6" t="s">
        <v>988</v>
      </c>
      <c r="J48" s="6" t="s">
        <v>873</v>
      </c>
      <c r="K48" s="6" t="s">
        <v>874</v>
      </c>
      <c r="L48" s="7"/>
      <c r="M48" s="8"/>
      <c r="N48" s="8"/>
    </row>
    <row r="49" spans="1:14" ht="25" x14ac:dyDescent="0.35">
      <c r="A49" s="6" t="s">
        <v>1162</v>
      </c>
      <c r="B49" s="6" t="s">
        <v>48</v>
      </c>
      <c r="C49" s="7" t="s">
        <v>1163</v>
      </c>
      <c r="D49" s="7" t="s">
        <v>1164</v>
      </c>
      <c r="E49" s="6" t="s">
        <v>734</v>
      </c>
      <c r="F49" s="6" t="s">
        <v>383</v>
      </c>
      <c r="G49" s="6" t="s">
        <v>1165</v>
      </c>
      <c r="H49" s="6" t="s">
        <v>1166</v>
      </c>
      <c r="I49" s="6" t="s">
        <v>794</v>
      </c>
      <c r="J49" s="6" t="s">
        <v>873</v>
      </c>
      <c r="K49" s="6" t="s">
        <v>865</v>
      </c>
      <c r="L49" s="7"/>
      <c r="M49" s="8"/>
      <c r="N49" s="8"/>
    </row>
    <row r="50" spans="1:14" ht="25" x14ac:dyDescent="0.35">
      <c r="A50" s="6" t="s">
        <v>1167</v>
      </c>
      <c r="B50" s="6" t="s">
        <v>48</v>
      </c>
      <c r="C50" s="7" t="s">
        <v>1168</v>
      </c>
      <c r="D50" s="7" t="s">
        <v>1169</v>
      </c>
      <c r="E50" s="6" t="s">
        <v>734</v>
      </c>
      <c r="F50" s="6" t="s">
        <v>1170</v>
      </c>
      <c r="G50" s="6" t="s">
        <v>1171</v>
      </c>
      <c r="H50" s="6" t="s">
        <v>1172</v>
      </c>
      <c r="I50" s="6" t="s">
        <v>905</v>
      </c>
      <c r="J50" s="6" t="s">
        <v>873</v>
      </c>
      <c r="K50" s="6" t="s">
        <v>874</v>
      </c>
      <c r="L50" s="7"/>
      <c r="M50" s="8"/>
      <c r="N50" s="8"/>
    </row>
    <row r="51" spans="1:14" ht="25" x14ac:dyDescent="0.35">
      <c r="A51" s="6" t="s">
        <v>1173</v>
      </c>
      <c r="B51" s="6" t="s">
        <v>48</v>
      </c>
      <c r="C51" s="7" t="s">
        <v>1174</v>
      </c>
      <c r="D51" s="7" t="s">
        <v>1175</v>
      </c>
      <c r="E51" s="6" t="s">
        <v>734</v>
      </c>
      <c r="F51" s="6" t="s">
        <v>1176</v>
      </c>
      <c r="G51" s="6" t="s">
        <v>1177</v>
      </c>
      <c r="H51" s="6" t="s">
        <v>1178</v>
      </c>
      <c r="I51" s="6" t="s">
        <v>905</v>
      </c>
      <c r="J51" s="6" t="s">
        <v>873</v>
      </c>
      <c r="K51" s="6" t="s">
        <v>874</v>
      </c>
      <c r="L51" s="7"/>
      <c r="M51" s="8"/>
      <c r="N51" s="8"/>
    </row>
    <row r="52" spans="1:14" ht="25" x14ac:dyDescent="0.35">
      <c r="A52" s="6" t="s">
        <v>1179</v>
      </c>
      <c r="B52" s="6" t="s">
        <v>73</v>
      </c>
      <c r="C52" s="7" t="s">
        <v>1180</v>
      </c>
      <c r="D52" s="7" t="s">
        <v>1181</v>
      </c>
      <c r="E52" s="6" t="s">
        <v>1182</v>
      </c>
      <c r="F52" s="6" t="s">
        <v>1183</v>
      </c>
      <c r="G52" s="6" t="s">
        <v>1184</v>
      </c>
      <c r="H52" s="6" t="s">
        <v>1185</v>
      </c>
      <c r="I52" s="6" t="s">
        <v>1186</v>
      </c>
      <c r="J52" s="6" t="s">
        <v>884</v>
      </c>
      <c r="K52" s="6" t="s">
        <v>865</v>
      </c>
      <c r="L52" s="7" t="s">
        <v>1187</v>
      </c>
      <c r="M52" s="8"/>
      <c r="N52" s="8"/>
    </row>
    <row r="53" spans="1:14" ht="25" x14ac:dyDescent="0.35">
      <c r="A53" s="6" t="s">
        <v>1188</v>
      </c>
      <c r="B53" s="6" t="s">
        <v>73</v>
      </c>
      <c r="C53" s="7" t="s">
        <v>1189</v>
      </c>
      <c r="D53" s="7" t="s">
        <v>1190</v>
      </c>
      <c r="E53" s="6" t="s">
        <v>703</v>
      </c>
      <c r="F53" s="6" t="s">
        <v>1191</v>
      </c>
      <c r="G53" s="6" t="s">
        <v>108</v>
      </c>
      <c r="H53" s="6" t="s">
        <v>107</v>
      </c>
      <c r="I53" s="6" t="s">
        <v>427</v>
      </c>
      <c r="J53" s="6" t="s">
        <v>873</v>
      </c>
      <c r="K53" s="6" t="s">
        <v>865</v>
      </c>
      <c r="L53" s="7" t="s">
        <v>1192</v>
      </c>
      <c r="M53" s="8"/>
      <c r="N53" s="8"/>
    </row>
    <row r="54" spans="1:14" ht="25" x14ac:dyDescent="0.35">
      <c r="A54" s="6" t="s">
        <v>1193</v>
      </c>
      <c r="B54" s="6" t="s">
        <v>73</v>
      </c>
      <c r="C54" s="7" t="s">
        <v>1194</v>
      </c>
      <c r="D54" s="7" t="s">
        <v>1195</v>
      </c>
      <c r="E54" s="6" t="s">
        <v>703</v>
      </c>
      <c r="F54" s="6" t="s">
        <v>1191</v>
      </c>
      <c r="G54" s="6" t="s">
        <v>108</v>
      </c>
      <c r="H54" s="6" t="s">
        <v>107</v>
      </c>
      <c r="I54" s="6" t="s">
        <v>1196</v>
      </c>
      <c r="J54" s="6" t="s">
        <v>873</v>
      </c>
      <c r="K54" s="6" t="s">
        <v>865</v>
      </c>
      <c r="L54" s="7"/>
      <c r="M54" s="8"/>
      <c r="N54" s="8"/>
    </row>
    <row r="55" spans="1:14" ht="25" x14ac:dyDescent="0.35">
      <c r="A55" s="6" t="s">
        <v>1197</v>
      </c>
      <c r="B55" s="6" t="s">
        <v>73</v>
      </c>
      <c r="C55" s="7" t="s">
        <v>1198</v>
      </c>
      <c r="D55" s="7" t="s">
        <v>1199</v>
      </c>
      <c r="E55" s="6" t="s">
        <v>703</v>
      </c>
      <c r="F55" s="6" t="s">
        <v>1200</v>
      </c>
      <c r="G55" s="6" t="s">
        <v>573</v>
      </c>
      <c r="H55" s="6" t="s">
        <v>572</v>
      </c>
      <c r="I55" s="6" t="s">
        <v>427</v>
      </c>
      <c r="J55" s="6" t="s">
        <v>873</v>
      </c>
      <c r="K55" s="6" t="s">
        <v>891</v>
      </c>
      <c r="L55" s="7" t="s">
        <v>1201</v>
      </c>
      <c r="M55" s="8"/>
      <c r="N55" s="8"/>
    </row>
    <row r="56" spans="1:14" ht="25" x14ac:dyDescent="0.35">
      <c r="A56" s="6" t="s">
        <v>1202</v>
      </c>
      <c r="B56" s="6" t="s">
        <v>73</v>
      </c>
      <c r="C56" s="7" t="s">
        <v>1203</v>
      </c>
      <c r="D56" s="7" t="s">
        <v>1204</v>
      </c>
      <c r="E56" s="6" t="s">
        <v>703</v>
      </c>
      <c r="F56" s="6" t="s">
        <v>1205</v>
      </c>
      <c r="G56" s="6" t="s">
        <v>573</v>
      </c>
      <c r="H56" s="6" t="s">
        <v>572</v>
      </c>
      <c r="I56" s="6"/>
      <c r="J56" s="6" t="s">
        <v>873</v>
      </c>
      <c r="K56" s="6" t="s">
        <v>874</v>
      </c>
      <c r="L56" s="7"/>
      <c r="M56" s="8"/>
      <c r="N56" s="8"/>
    </row>
    <row r="57" spans="1:14" ht="25" x14ac:dyDescent="0.35">
      <c r="A57" s="6" t="s">
        <v>1206</v>
      </c>
      <c r="B57" s="6" t="s">
        <v>73</v>
      </c>
      <c r="C57" s="7" t="s">
        <v>1207</v>
      </c>
      <c r="D57" s="7" t="s">
        <v>1208</v>
      </c>
      <c r="E57" s="6" t="s">
        <v>703</v>
      </c>
      <c r="F57" s="6" t="s">
        <v>112</v>
      </c>
      <c r="G57" s="6" t="s">
        <v>108</v>
      </c>
      <c r="H57" s="6" t="s">
        <v>107</v>
      </c>
      <c r="I57" s="6" t="s">
        <v>1209</v>
      </c>
      <c r="J57" s="6" t="s">
        <v>864</v>
      </c>
      <c r="K57" s="6" t="s">
        <v>891</v>
      </c>
      <c r="L57" s="7"/>
      <c r="M57" s="8"/>
      <c r="N57" s="8"/>
    </row>
    <row r="58" spans="1:14" ht="25" x14ac:dyDescent="0.35">
      <c r="A58" s="6" t="s">
        <v>1210</v>
      </c>
      <c r="B58" s="6" t="s">
        <v>73</v>
      </c>
      <c r="C58" s="7" t="s">
        <v>1211</v>
      </c>
      <c r="D58" s="7" t="s">
        <v>1212</v>
      </c>
      <c r="E58" s="6" t="s">
        <v>703</v>
      </c>
      <c r="F58" s="6" t="s">
        <v>1213</v>
      </c>
      <c r="G58" s="6" t="s">
        <v>68</v>
      </c>
      <c r="H58" s="6" t="s">
        <v>67</v>
      </c>
      <c r="I58" s="6" t="s">
        <v>72</v>
      </c>
      <c r="J58" s="6" t="s">
        <v>873</v>
      </c>
      <c r="K58" s="6" t="s">
        <v>874</v>
      </c>
      <c r="L58" s="7"/>
      <c r="M58" s="8"/>
      <c r="N58" s="8"/>
    </row>
    <row r="59" spans="1:14" x14ac:dyDescent="0.35">
      <c r="A59" s="6" t="s">
        <v>1214</v>
      </c>
      <c r="B59" s="6" t="s">
        <v>73</v>
      </c>
      <c r="C59" s="7" t="s">
        <v>1215</v>
      </c>
      <c r="D59" s="7" t="s">
        <v>1216</v>
      </c>
      <c r="E59" s="6" t="s">
        <v>703</v>
      </c>
      <c r="F59" s="6" t="s">
        <v>1217</v>
      </c>
      <c r="G59" s="6" t="s">
        <v>518</v>
      </c>
      <c r="H59" s="6" t="s">
        <v>516</v>
      </c>
      <c r="I59" s="6"/>
      <c r="J59" s="6" t="s">
        <v>873</v>
      </c>
      <c r="K59" s="6" t="s">
        <v>874</v>
      </c>
      <c r="L59" s="7"/>
      <c r="M59" s="8"/>
      <c r="N59" s="8"/>
    </row>
    <row r="60" spans="1:14" ht="25" x14ac:dyDescent="0.35">
      <c r="A60" s="6" t="s">
        <v>1218</v>
      </c>
      <c r="B60" s="6" t="s">
        <v>73</v>
      </c>
      <c r="C60" s="7" t="s">
        <v>1219</v>
      </c>
      <c r="D60" s="7" t="s">
        <v>1220</v>
      </c>
      <c r="E60" s="6" t="s">
        <v>703</v>
      </c>
      <c r="F60" s="6" t="s">
        <v>1221</v>
      </c>
      <c r="G60" s="6" t="s">
        <v>1222</v>
      </c>
      <c r="H60" s="6" t="s">
        <v>1223</v>
      </c>
      <c r="I60" s="6" t="s">
        <v>72</v>
      </c>
      <c r="J60" s="6" t="s">
        <v>873</v>
      </c>
      <c r="K60" s="6" t="s">
        <v>874</v>
      </c>
      <c r="L60" s="7"/>
      <c r="M60" s="8"/>
      <c r="N60" s="8"/>
    </row>
    <row r="61" spans="1:14" ht="25" x14ac:dyDescent="0.35">
      <c r="A61" s="6" t="s">
        <v>1224</v>
      </c>
      <c r="B61" s="6" t="s">
        <v>73</v>
      </c>
      <c r="C61" s="7" t="s">
        <v>1225</v>
      </c>
      <c r="D61" s="7" t="s">
        <v>1226</v>
      </c>
      <c r="E61" s="6" t="s">
        <v>703</v>
      </c>
      <c r="F61" s="6" t="s">
        <v>1227</v>
      </c>
      <c r="G61" s="6" t="s">
        <v>1228</v>
      </c>
      <c r="H61" s="6" t="s">
        <v>1229</v>
      </c>
      <c r="I61" s="6" t="s">
        <v>72</v>
      </c>
      <c r="J61" s="6" t="s">
        <v>873</v>
      </c>
      <c r="K61" s="6" t="s">
        <v>865</v>
      </c>
      <c r="L61" s="7"/>
      <c r="M61" s="8"/>
      <c r="N61" s="8"/>
    </row>
    <row r="62" spans="1:14" x14ac:dyDescent="0.35">
      <c r="A62" s="6" t="s">
        <v>1230</v>
      </c>
      <c r="B62" s="6" t="s">
        <v>73</v>
      </c>
      <c r="C62" s="7" t="s">
        <v>1231</v>
      </c>
      <c r="D62" s="7" t="s">
        <v>1232</v>
      </c>
      <c r="E62" s="6" t="s">
        <v>703</v>
      </c>
      <c r="F62" s="6" t="s">
        <v>1233</v>
      </c>
      <c r="G62" s="6" t="s">
        <v>584</v>
      </c>
      <c r="H62" s="6" t="s">
        <v>583</v>
      </c>
      <c r="I62" s="6" t="s">
        <v>72</v>
      </c>
      <c r="J62" s="6" t="s">
        <v>873</v>
      </c>
      <c r="K62" s="6" t="s">
        <v>874</v>
      </c>
      <c r="L62" s="7"/>
      <c r="M62" s="8"/>
      <c r="N62" s="8"/>
    </row>
    <row r="63" spans="1:14" ht="25" x14ac:dyDescent="0.35">
      <c r="A63" s="6" t="s">
        <v>1234</v>
      </c>
      <c r="B63" s="6" t="s">
        <v>73</v>
      </c>
      <c r="C63" s="7" t="s">
        <v>1235</v>
      </c>
      <c r="D63" s="7" t="s">
        <v>1236</v>
      </c>
      <c r="E63" s="6" t="s">
        <v>703</v>
      </c>
      <c r="F63" s="6" t="s">
        <v>1237</v>
      </c>
      <c r="G63" s="6" t="s">
        <v>1029</v>
      </c>
      <c r="H63" s="6" t="s">
        <v>1030</v>
      </c>
      <c r="I63" s="6" t="s">
        <v>1238</v>
      </c>
      <c r="J63" s="6" t="s">
        <v>864</v>
      </c>
      <c r="K63" s="6" t="s">
        <v>874</v>
      </c>
      <c r="L63" s="7"/>
      <c r="M63" s="8"/>
      <c r="N63" s="8"/>
    </row>
    <row r="64" spans="1:14" x14ac:dyDescent="0.35">
      <c r="A64" s="6" t="s">
        <v>1239</v>
      </c>
      <c r="B64" s="6" t="s">
        <v>73</v>
      </c>
      <c r="C64" s="7" t="s">
        <v>1240</v>
      </c>
      <c r="D64" s="7" t="s">
        <v>1241</v>
      </c>
      <c r="E64" s="6" t="s">
        <v>703</v>
      </c>
      <c r="F64" s="6" t="s">
        <v>346</v>
      </c>
      <c r="G64" s="6" t="s">
        <v>342</v>
      </c>
      <c r="H64" s="6" t="s">
        <v>341</v>
      </c>
      <c r="I64" s="6" t="s">
        <v>72</v>
      </c>
      <c r="J64" s="6" t="s">
        <v>873</v>
      </c>
      <c r="K64" s="6" t="s">
        <v>874</v>
      </c>
      <c r="L64" s="7"/>
      <c r="M64" s="8"/>
      <c r="N64" s="8"/>
    </row>
    <row r="65" spans="1:14" x14ac:dyDescent="0.35">
      <c r="A65" s="6" t="s">
        <v>1242</v>
      </c>
      <c r="B65" s="6" t="s">
        <v>73</v>
      </c>
      <c r="C65" s="7" t="s">
        <v>1243</v>
      </c>
      <c r="D65" s="7" t="s">
        <v>1244</v>
      </c>
      <c r="E65" s="6" t="s">
        <v>703</v>
      </c>
      <c r="F65" s="6" t="s">
        <v>338</v>
      </c>
      <c r="G65" s="6" t="s">
        <v>1041</v>
      </c>
      <c r="H65" s="6" t="s">
        <v>1042</v>
      </c>
      <c r="I65" s="6" t="s">
        <v>630</v>
      </c>
      <c r="J65" s="6" t="s">
        <v>873</v>
      </c>
      <c r="K65" s="6" t="s">
        <v>865</v>
      </c>
      <c r="L65" s="7"/>
      <c r="M65" s="8"/>
      <c r="N65" s="8"/>
    </row>
    <row r="66" spans="1:14" ht="25" x14ac:dyDescent="0.35">
      <c r="A66" s="6" t="s">
        <v>1245</v>
      </c>
      <c r="B66" s="6" t="s">
        <v>73</v>
      </c>
      <c r="C66" s="7" t="s">
        <v>1246</v>
      </c>
      <c r="D66" s="7" t="s">
        <v>1247</v>
      </c>
      <c r="E66" s="6" t="s">
        <v>703</v>
      </c>
      <c r="F66" s="6" t="s">
        <v>1248</v>
      </c>
      <c r="G66" s="6" t="s">
        <v>1249</v>
      </c>
      <c r="H66" s="6" t="s">
        <v>1250</v>
      </c>
      <c r="I66" s="6" t="s">
        <v>1251</v>
      </c>
      <c r="J66" s="6" t="s">
        <v>873</v>
      </c>
      <c r="K66" s="6" t="s">
        <v>865</v>
      </c>
      <c r="L66" s="7"/>
      <c r="M66" s="8"/>
      <c r="N66" s="8"/>
    </row>
    <row r="67" spans="1:14" ht="25" x14ac:dyDescent="0.35">
      <c r="A67" s="6" t="s">
        <v>1252</v>
      </c>
      <c r="B67" s="6" t="s">
        <v>73</v>
      </c>
      <c r="C67" s="7" t="s">
        <v>1253</v>
      </c>
      <c r="D67" s="7" t="s">
        <v>1254</v>
      </c>
      <c r="E67" s="6" t="s">
        <v>703</v>
      </c>
      <c r="F67" s="6" t="s">
        <v>1255</v>
      </c>
      <c r="G67" s="6" t="s">
        <v>1256</v>
      </c>
      <c r="H67" s="6" t="s">
        <v>1257</v>
      </c>
      <c r="I67" s="6"/>
      <c r="J67" s="6" t="s">
        <v>873</v>
      </c>
      <c r="K67" s="6" t="s">
        <v>874</v>
      </c>
      <c r="L67" s="7" t="s">
        <v>1258</v>
      </c>
      <c r="M67" s="8"/>
      <c r="N67" s="8"/>
    </row>
    <row r="68" spans="1:14" ht="25" x14ac:dyDescent="0.35">
      <c r="A68" s="6" t="s">
        <v>1259</v>
      </c>
      <c r="B68" s="6" t="s">
        <v>73</v>
      </c>
      <c r="C68" s="7" t="s">
        <v>1260</v>
      </c>
      <c r="D68" s="7" t="s">
        <v>1261</v>
      </c>
      <c r="E68" s="6" t="s">
        <v>703</v>
      </c>
      <c r="F68" s="6" t="s">
        <v>1262</v>
      </c>
      <c r="G68" s="6" t="s">
        <v>1263</v>
      </c>
      <c r="H68" s="6" t="s">
        <v>1264</v>
      </c>
      <c r="I68" s="6"/>
      <c r="J68" s="6" t="s">
        <v>873</v>
      </c>
      <c r="K68" s="6" t="s">
        <v>874</v>
      </c>
      <c r="L68" s="7"/>
      <c r="M68" s="8"/>
      <c r="N68" s="8"/>
    </row>
    <row r="69" spans="1:14" ht="25" x14ac:dyDescent="0.35">
      <c r="A69" s="6" t="s">
        <v>1265</v>
      </c>
      <c r="B69" s="6" t="s">
        <v>73</v>
      </c>
      <c r="C69" s="7" t="s">
        <v>1266</v>
      </c>
      <c r="D69" s="7" t="s">
        <v>1267</v>
      </c>
      <c r="E69" s="6" t="s">
        <v>703</v>
      </c>
      <c r="F69" s="6" t="s">
        <v>1268</v>
      </c>
      <c r="G69" s="6" t="s">
        <v>1269</v>
      </c>
      <c r="H69" s="6" t="s">
        <v>1270</v>
      </c>
      <c r="I69" s="6"/>
      <c r="J69" s="6" t="s">
        <v>1271</v>
      </c>
      <c r="K69" s="6" t="s">
        <v>865</v>
      </c>
      <c r="L69" s="7" t="s">
        <v>1272</v>
      </c>
      <c r="M69" s="8"/>
      <c r="N69" s="8"/>
    </row>
    <row r="70" spans="1:14" ht="25" x14ac:dyDescent="0.35">
      <c r="A70" s="6" t="s">
        <v>1273</v>
      </c>
      <c r="B70" s="6" t="s">
        <v>73</v>
      </c>
      <c r="C70" s="7" t="s">
        <v>1274</v>
      </c>
      <c r="D70" s="7" t="s">
        <v>1275</v>
      </c>
      <c r="E70" s="6" t="s">
        <v>703</v>
      </c>
      <c r="F70" s="6" t="s">
        <v>1276</v>
      </c>
      <c r="G70" s="6" t="s">
        <v>1277</v>
      </c>
      <c r="H70" s="6" t="s">
        <v>1278</v>
      </c>
      <c r="I70" s="6" t="s">
        <v>813</v>
      </c>
      <c r="J70" s="6" t="s">
        <v>873</v>
      </c>
      <c r="K70" s="6" t="s">
        <v>865</v>
      </c>
      <c r="L70" s="7"/>
      <c r="M70" s="8"/>
      <c r="N70" s="8"/>
    </row>
    <row r="71" spans="1:14" ht="25" x14ac:dyDescent="0.35">
      <c r="A71" s="6" t="s">
        <v>1279</v>
      </c>
      <c r="B71" s="6" t="s">
        <v>73</v>
      </c>
      <c r="C71" s="7" t="s">
        <v>1280</v>
      </c>
      <c r="D71" s="7" t="s">
        <v>1281</v>
      </c>
      <c r="E71" s="6" t="s">
        <v>703</v>
      </c>
      <c r="F71" s="6" t="s">
        <v>1282</v>
      </c>
      <c r="G71" s="6" t="s">
        <v>1283</v>
      </c>
      <c r="H71" s="6" t="s">
        <v>1284</v>
      </c>
      <c r="I71" s="6" t="s">
        <v>1285</v>
      </c>
      <c r="J71" s="6" t="s">
        <v>864</v>
      </c>
      <c r="K71" s="6" t="s">
        <v>865</v>
      </c>
      <c r="L71" s="7" t="s">
        <v>1286</v>
      </c>
      <c r="M71" s="8"/>
      <c r="N71" s="8"/>
    </row>
    <row r="72" spans="1:14" ht="25" x14ac:dyDescent="0.35">
      <c r="A72" s="6" t="s">
        <v>1287</v>
      </c>
      <c r="B72" s="6" t="s">
        <v>73</v>
      </c>
      <c r="C72" s="7" t="s">
        <v>1288</v>
      </c>
      <c r="D72" s="7" t="s">
        <v>1289</v>
      </c>
      <c r="E72" s="6" t="s">
        <v>703</v>
      </c>
      <c r="F72" s="6" t="s">
        <v>1290</v>
      </c>
      <c r="G72" s="6" t="s">
        <v>1291</v>
      </c>
      <c r="H72" s="6" t="s">
        <v>1292</v>
      </c>
      <c r="I72" s="6" t="s">
        <v>135</v>
      </c>
      <c r="J72" s="6" t="s">
        <v>873</v>
      </c>
      <c r="K72" s="6" t="s">
        <v>874</v>
      </c>
      <c r="L72" s="7" t="s">
        <v>1293</v>
      </c>
      <c r="M72" s="8"/>
      <c r="N72" s="8"/>
    </row>
    <row r="73" spans="1:14" x14ac:dyDescent="0.35">
      <c r="A73" s="6" t="s">
        <v>1294</v>
      </c>
      <c r="B73" s="6" t="s">
        <v>73</v>
      </c>
      <c r="C73" s="7" t="s">
        <v>1295</v>
      </c>
      <c r="D73" s="7" t="s">
        <v>1296</v>
      </c>
      <c r="E73" s="6" t="s">
        <v>703</v>
      </c>
      <c r="F73" s="6" t="s">
        <v>1297</v>
      </c>
      <c r="G73" s="6" t="s">
        <v>1083</v>
      </c>
      <c r="H73" s="6" t="s">
        <v>1084</v>
      </c>
      <c r="I73" s="6" t="s">
        <v>967</v>
      </c>
      <c r="J73" s="6" t="s">
        <v>864</v>
      </c>
      <c r="K73" s="6" t="s">
        <v>865</v>
      </c>
      <c r="L73" s="7"/>
      <c r="M73" s="8"/>
      <c r="N73" s="8"/>
    </row>
    <row r="74" spans="1:14" ht="25" x14ac:dyDescent="0.35">
      <c r="A74" s="6" t="s">
        <v>1298</v>
      </c>
      <c r="B74" s="6" t="s">
        <v>73</v>
      </c>
      <c r="C74" s="7" t="s">
        <v>1299</v>
      </c>
      <c r="D74" s="7" t="s">
        <v>1300</v>
      </c>
      <c r="E74" s="6" t="s">
        <v>703</v>
      </c>
      <c r="F74" s="6" t="s">
        <v>1301</v>
      </c>
      <c r="G74" s="6" t="s">
        <v>1302</v>
      </c>
      <c r="H74" s="6" t="s">
        <v>1303</v>
      </c>
      <c r="I74" s="6"/>
      <c r="J74" s="6" t="s">
        <v>873</v>
      </c>
      <c r="K74" s="6" t="s">
        <v>865</v>
      </c>
      <c r="L74" s="7"/>
      <c r="M74" s="8"/>
      <c r="N74" s="8"/>
    </row>
    <row r="75" spans="1:14" ht="25" x14ac:dyDescent="0.35">
      <c r="A75" s="6" t="s">
        <v>1304</v>
      </c>
      <c r="B75" s="6" t="s">
        <v>73</v>
      </c>
      <c r="C75" s="7" t="s">
        <v>1305</v>
      </c>
      <c r="D75" s="7" t="s">
        <v>1306</v>
      </c>
      <c r="E75" s="6" t="s">
        <v>1307</v>
      </c>
      <c r="F75" s="6" t="s">
        <v>194</v>
      </c>
      <c r="G75" s="6" t="s">
        <v>1308</v>
      </c>
      <c r="H75" s="6" t="s">
        <v>1309</v>
      </c>
      <c r="I75" s="6" t="s">
        <v>135</v>
      </c>
      <c r="J75" s="6" t="s">
        <v>884</v>
      </c>
      <c r="K75" s="6" t="s">
        <v>891</v>
      </c>
      <c r="L75" s="7" t="s">
        <v>1310</v>
      </c>
      <c r="M75" s="8"/>
      <c r="N75" s="8"/>
    </row>
    <row r="76" spans="1:14" ht="25" x14ac:dyDescent="0.35">
      <c r="A76" s="6" t="s">
        <v>1311</v>
      </c>
      <c r="B76" s="6" t="s">
        <v>73</v>
      </c>
      <c r="C76" s="7" t="s">
        <v>1312</v>
      </c>
      <c r="D76" s="7" t="s">
        <v>1313</v>
      </c>
      <c r="E76" s="6" t="s">
        <v>703</v>
      </c>
      <c r="F76" s="6" t="s">
        <v>194</v>
      </c>
      <c r="G76" s="6" t="s">
        <v>1314</v>
      </c>
      <c r="H76" s="6" t="s">
        <v>1315</v>
      </c>
      <c r="I76" s="6" t="s">
        <v>255</v>
      </c>
      <c r="J76" s="6" t="s">
        <v>873</v>
      </c>
      <c r="K76" s="6" t="s">
        <v>865</v>
      </c>
      <c r="L76" s="7"/>
      <c r="M76" s="8"/>
      <c r="N76" s="8"/>
    </row>
    <row r="77" spans="1:14" ht="25" x14ac:dyDescent="0.35">
      <c r="A77" s="6" t="s">
        <v>1316</v>
      </c>
      <c r="B77" s="6" t="s">
        <v>73</v>
      </c>
      <c r="C77" s="7" t="s">
        <v>1317</v>
      </c>
      <c r="D77" s="7" t="s">
        <v>1318</v>
      </c>
      <c r="E77" s="6" t="s">
        <v>703</v>
      </c>
      <c r="F77" s="6" t="s">
        <v>564</v>
      </c>
      <c r="G77" s="6" t="s">
        <v>1319</v>
      </c>
      <c r="H77" s="6" t="s">
        <v>1320</v>
      </c>
      <c r="I77" s="6" t="s">
        <v>135</v>
      </c>
      <c r="J77" s="6" t="s">
        <v>873</v>
      </c>
      <c r="K77" s="6" t="s">
        <v>874</v>
      </c>
      <c r="L77" s="7"/>
      <c r="M77" s="8"/>
      <c r="N77" s="8"/>
    </row>
    <row r="78" spans="1:14" ht="25" x14ac:dyDescent="0.35">
      <c r="A78" s="6" t="s">
        <v>1321</v>
      </c>
      <c r="B78" s="6" t="s">
        <v>73</v>
      </c>
      <c r="C78" s="7" t="s">
        <v>1322</v>
      </c>
      <c r="D78" s="7" t="s">
        <v>1323</v>
      </c>
      <c r="E78" s="6" t="s">
        <v>1307</v>
      </c>
      <c r="F78" s="6" t="s">
        <v>1324</v>
      </c>
      <c r="G78" s="6" t="s">
        <v>1325</v>
      </c>
      <c r="H78" s="6" t="s">
        <v>1326</v>
      </c>
      <c r="I78" s="6" t="s">
        <v>999</v>
      </c>
      <c r="J78" s="6" t="s">
        <v>884</v>
      </c>
      <c r="K78" s="6" t="s">
        <v>891</v>
      </c>
      <c r="L78" s="7"/>
      <c r="M78" s="8"/>
      <c r="N78" s="8"/>
    </row>
    <row r="79" spans="1:14" ht="25" x14ac:dyDescent="0.35">
      <c r="A79" s="6" t="s">
        <v>1327</v>
      </c>
      <c r="B79" s="6" t="s">
        <v>73</v>
      </c>
      <c r="C79" s="7" t="s">
        <v>1328</v>
      </c>
      <c r="D79" s="7" t="s">
        <v>1329</v>
      </c>
      <c r="E79" s="6" t="s">
        <v>703</v>
      </c>
      <c r="F79" s="6" t="s">
        <v>531</v>
      </c>
      <c r="G79" s="6" t="s">
        <v>523</v>
      </c>
      <c r="H79" s="6" t="s">
        <v>522</v>
      </c>
      <c r="I79" s="6" t="s">
        <v>135</v>
      </c>
      <c r="J79" s="6" t="s">
        <v>873</v>
      </c>
      <c r="K79" s="6" t="s">
        <v>865</v>
      </c>
      <c r="L79" s="7"/>
      <c r="M79" s="8"/>
      <c r="N79" s="8"/>
    </row>
    <row r="80" spans="1:14" ht="25" x14ac:dyDescent="0.35">
      <c r="A80" s="6" t="s">
        <v>1330</v>
      </c>
      <c r="B80" s="6" t="s">
        <v>73</v>
      </c>
      <c r="C80" s="7" t="s">
        <v>1331</v>
      </c>
      <c r="D80" s="7" t="s">
        <v>1332</v>
      </c>
      <c r="E80" s="6" t="s">
        <v>703</v>
      </c>
      <c r="F80" s="6" t="s">
        <v>531</v>
      </c>
      <c r="G80" s="6" t="s">
        <v>1333</v>
      </c>
      <c r="H80" s="6" t="s">
        <v>1334</v>
      </c>
      <c r="I80" s="6" t="s">
        <v>135</v>
      </c>
      <c r="J80" s="6" t="s">
        <v>873</v>
      </c>
      <c r="K80" s="6" t="s">
        <v>874</v>
      </c>
      <c r="L80" s="7"/>
      <c r="M80" s="8"/>
      <c r="N80" s="8"/>
    </row>
    <row r="81" spans="1:14" ht="25" x14ac:dyDescent="0.35">
      <c r="A81" s="6" t="s">
        <v>1335</v>
      </c>
      <c r="B81" s="6" t="s">
        <v>73</v>
      </c>
      <c r="C81" s="7" t="s">
        <v>1336</v>
      </c>
      <c r="D81" s="7" t="s">
        <v>1337</v>
      </c>
      <c r="E81" s="6" t="s">
        <v>703</v>
      </c>
      <c r="F81" s="6" t="s">
        <v>559</v>
      </c>
      <c r="G81" s="6" t="s">
        <v>1338</v>
      </c>
      <c r="H81" s="6" t="s">
        <v>1339</v>
      </c>
      <c r="I81" s="6" t="s">
        <v>135</v>
      </c>
      <c r="J81" s="6" t="s">
        <v>873</v>
      </c>
      <c r="K81" s="6" t="s">
        <v>865</v>
      </c>
      <c r="L81" s="7"/>
      <c r="M81" s="8"/>
      <c r="N81" s="8"/>
    </row>
    <row r="82" spans="1:14" ht="25" x14ac:dyDescent="0.35">
      <c r="A82" s="6" t="s">
        <v>1340</v>
      </c>
      <c r="B82" s="6" t="s">
        <v>73</v>
      </c>
      <c r="C82" s="7" t="s">
        <v>1341</v>
      </c>
      <c r="D82" s="7" t="s">
        <v>1342</v>
      </c>
      <c r="E82" s="6" t="s">
        <v>1307</v>
      </c>
      <c r="F82" s="6" t="s">
        <v>1343</v>
      </c>
      <c r="G82" s="6" t="s">
        <v>1344</v>
      </c>
      <c r="H82" s="6" t="s">
        <v>1345</v>
      </c>
      <c r="I82" s="6" t="s">
        <v>135</v>
      </c>
      <c r="J82" s="6" t="s">
        <v>873</v>
      </c>
      <c r="K82" s="6" t="s">
        <v>865</v>
      </c>
      <c r="L82" s="7" t="s">
        <v>1346</v>
      </c>
      <c r="M82" s="8"/>
      <c r="N82" s="8"/>
    </row>
    <row r="83" spans="1:14" ht="25" x14ac:dyDescent="0.35">
      <c r="A83" s="6" t="s">
        <v>1347</v>
      </c>
      <c r="B83" s="6" t="s">
        <v>73</v>
      </c>
      <c r="C83" s="7" t="s">
        <v>1348</v>
      </c>
      <c r="D83" s="7" t="s">
        <v>1349</v>
      </c>
      <c r="E83" s="6" t="s">
        <v>703</v>
      </c>
      <c r="F83" s="6" t="s">
        <v>1350</v>
      </c>
      <c r="G83" s="6" t="s">
        <v>533</v>
      </c>
      <c r="H83" s="6" t="s">
        <v>532</v>
      </c>
      <c r="I83" s="6"/>
      <c r="J83" s="6" t="s">
        <v>873</v>
      </c>
      <c r="K83" s="6" t="s">
        <v>874</v>
      </c>
      <c r="L83" s="7" t="s">
        <v>1351</v>
      </c>
      <c r="M83" s="8"/>
      <c r="N83" s="8"/>
    </row>
    <row r="84" spans="1:14" ht="25" x14ac:dyDescent="0.35">
      <c r="A84" s="6" t="s">
        <v>1352</v>
      </c>
      <c r="B84" s="6" t="s">
        <v>73</v>
      </c>
      <c r="C84" s="7" t="s">
        <v>1353</v>
      </c>
      <c r="D84" s="7" t="s">
        <v>1354</v>
      </c>
      <c r="E84" s="6" t="s">
        <v>703</v>
      </c>
      <c r="F84" s="6" t="s">
        <v>1355</v>
      </c>
      <c r="G84" s="6" t="s">
        <v>472</v>
      </c>
      <c r="H84" s="6" t="s">
        <v>471</v>
      </c>
      <c r="I84" s="6" t="s">
        <v>1285</v>
      </c>
      <c r="J84" s="6" t="s">
        <v>873</v>
      </c>
      <c r="K84" s="6" t="s">
        <v>874</v>
      </c>
      <c r="L84" s="7"/>
      <c r="M84" s="8"/>
      <c r="N84" s="8"/>
    </row>
    <row r="85" spans="1:14" ht="25" x14ac:dyDescent="0.35">
      <c r="A85" s="6" t="s">
        <v>1356</v>
      </c>
      <c r="B85" s="6" t="s">
        <v>73</v>
      </c>
      <c r="C85" s="7" t="s">
        <v>1357</v>
      </c>
      <c r="D85" s="7" t="s">
        <v>1358</v>
      </c>
      <c r="E85" s="6" t="s">
        <v>703</v>
      </c>
      <c r="F85" s="6" t="s">
        <v>462</v>
      </c>
      <c r="G85" s="6" t="s">
        <v>1359</v>
      </c>
      <c r="H85" s="6" t="s">
        <v>1360</v>
      </c>
      <c r="I85" s="6" t="s">
        <v>135</v>
      </c>
      <c r="J85" s="6" t="s">
        <v>873</v>
      </c>
      <c r="K85" s="6" t="s">
        <v>865</v>
      </c>
      <c r="L85" s="7"/>
      <c r="M85" s="8"/>
      <c r="N85" s="8"/>
    </row>
    <row r="86" spans="1:14" ht="25" x14ac:dyDescent="0.35">
      <c r="A86" s="6" t="s">
        <v>1361</v>
      </c>
      <c r="B86" s="6" t="s">
        <v>73</v>
      </c>
      <c r="C86" s="7" t="s">
        <v>1362</v>
      </c>
      <c r="D86" s="7" t="s">
        <v>1363</v>
      </c>
      <c r="E86" s="6" t="s">
        <v>703</v>
      </c>
      <c r="F86" s="6" t="s">
        <v>462</v>
      </c>
      <c r="G86" s="6" t="s">
        <v>566</v>
      </c>
      <c r="H86" s="6" t="s">
        <v>565</v>
      </c>
      <c r="I86" s="6"/>
      <c r="J86" s="6" t="s">
        <v>1271</v>
      </c>
      <c r="K86" s="6" t="s">
        <v>865</v>
      </c>
      <c r="L86" s="7" t="s">
        <v>1364</v>
      </c>
      <c r="M86" s="8"/>
      <c r="N86" s="8"/>
    </row>
    <row r="87" spans="1:14" ht="25" x14ac:dyDescent="0.35">
      <c r="A87" s="6" t="s">
        <v>1365</v>
      </c>
      <c r="B87" s="6" t="s">
        <v>73</v>
      </c>
      <c r="C87" s="7" t="s">
        <v>1366</v>
      </c>
      <c r="D87" s="7" t="s">
        <v>1367</v>
      </c>
      <c r="E87" s="6" t="s">
        <v>703</v>
      </c>
      <c r="F87" s="6" t="s">
        <v>1368</v>
      </c>
      <c r="G87" s="6" t="s">
        <v>431</v>
      </c>
      <c r="H87" s="6" t="s">
        <v>429</v>
      </c>
      <c r="I87" s="6" t="s">
        <v>72</v>
      </c>
      <c r="J87" s="6" t="s">
        <v>873</v>
      </c>
      <c r="K87" s="6" t="s">
        <v>865</v>
      </c>
      <c r="L87" s="7"/>
      <c r="M87" s="8"/>
      <c r="N87" s="8"/>
    </row>
    <row r="88" spans="1:14" x14ac:dyDescent="0.35">
      <c r="A88" s="6" t="s">
        <v>1369</v>
      </c>
      <c r="B88" s="6" t="s">
        <v>73</v>
      </c>
      <c r="C88" s="7" t="s">
        <v>1370</v>
      </c>
      <c r="D88" s="7" t="s">
        <v>1371</v>
      </c>
      <c r="E88" s="6" t="s">
        <v>703</v>
      </c>
      <c r="F88" s="6" t="s">
        <v>462</v>
      </c>
      <c r="G88" s="6" t="s">
        <v>458</v>
      </c>
      <c r="H88" s="6" t="s">
        <v>457</v>
      </c>
      <c r="I88" s="6" t="s">
        <v>135</v>
      </c>
      <c r="J88" s="6" t="s">
        <v>873</v>
      </c>
      <c r="K88" s="6" t="s">
        <v>865</v>
      </c>
      <c r="L88" s="7"/>
      <c r="M88" s="8"/>
      <c r="N88" s="8"/>
    </row>
    <row r="89" spans="1:14" ht="25" x14ac:dyDescent="0.35">
      <c r="A89" s="6" t="s">
        <v>1372</v>
      </c>
      <c r="B89" s="6" t="s">
        <v>73</v>
      </c>
      <c r="C89" s="7" t="s">
        <v>1373</v>
      </c>
      <c r="D89" s="7" t="s">
        <v>1374</v>
      </c>
      <c r="E89" s="6" t="s">
        <v>703</v>
      </c>
      <c r="F89" s="6" t="s">
        <v>444</v>
      </c>
      <c r="G89" s="6" t="s">
        <v>1375</v>
      </c>
      <c r="H89" s="6" t="s">
        <v>1376</v>
      </c>
      <c r="I89" s="6"/>
      <c r="J89" s="6" t="s">
        <v>873</v>
      </c>
      <c r="K89" s="6" t="s">
        <v>865</v>
      </c>
      <c r="L89" s="7" t="s">
        <v>1377</v>
      </c>
      <c r="M89" s="8"/>
      <c r="N89" s="8"/>
    </row>
    <row r="90" spans="1:14" ht="25" x14ac:dyDescent="0.35">
      <c r="A90" s="6" t="s">
        <v>1378</v>
      </c>
      <c r="B90" s="6" t="s">
        <v>73</v>
      </c>
      <c r="C90" s="7" t="s">
        <v>1379</v>
      </c>
      <c r="D90" s="7" t="s">
        <v>1380</v>
      </c>
      <c r="E90" s="6" t="s">
        <v>703</v>
      </c>
      <c r="F90" s="6" t="s">
        <v>1381</v>
      </c>
      <c r="G90" s="6" t="s">
        <v>509</v>
      </c>
      <c r="H90" s="6" t="s">
        <v>508</v>
      </c>
      <c r="I90" s="6"/>
      <c r="J90" s="6" t="s">
        <v>873</v>
      </c>
      <c r="K90" s="6" t="s">
        <v>874</v>
      </c>
      <c r="L90" s="7"/>
      <c r="M90" s="8"/>
      <c r="N90" s="8"/>
    </row>
    <row r="91" spans="1:14" ht="25" x14ac:dyDescent="0.35">
      <c r="A91" s="6" t="s">
        <v>1382</v>
      </c>
      <c r="B91" s="6" t="s">
        <v>73</v>
      </c>
      <c r="C91" s="7" t="s">
        <v>1383</v>
      </c>
      <c r="D91" s="7" t="s">
        <v>1384</v>
      </c>
      <c r="E91" s="6" t="s">
        <v>703</v>
      </c>
      <c r="F91" s="6" t="s">
        <v>1385</v>
      </c>
      <c r="G91" s="6" t="s">
        <v>509</v>
      </c>
      <c r="H91" s="6" t="s">
        <v>508</v>
      </c>
      <c r="I91" s="6"/>
      <c r="J91" s="6" t="s">
        <v>873</v>
      </c>
      <c r="K91" s="6" t="s">
        <v>874</v>
      </c>
      <c r="L91" s="7"/>
      <c r="M91" s="8"/>
      <c r="N91" s="8"/>
    </row>
    <row r="92" spans="1:14" ht="25" x14ac:dyDescent="0.35">
      <c r="A92" s="6" t="s">
        <v>1386</v>
      </c>
      <c r="B92" s="6" t="s">
        <v>73</v>
      </c>
      <c r="C92" s="7" t="s">
        <v>1387</v>
      </c>
      <c r="D92" s="7" t="s">
        <v>1388</v>
      </c>
      <c r="E92" s="6" t="s">
        <v>703</v>
      </c>
      <c r="F92" s="6" t="s">
        <v>543</v>
      </c>
      <c r="G92" s="6" t="s">
        <v>540</v>
      </c>
      <c r="H92" s="6" t="s">
        <v>539</v>
      </c>
      <c r="I92" s="6" t="s">
        <v>72</v>
      </c>
      <c r="J92" s="6" t="s">
        <v>1271</v>
      </c>
      <c r="K92" s="6" t="s">
        <v>865</v>
      </c>
      <c r="L92" s="7" t="s">
        <v>1389</v>
      </c>
      <c r="M92" s="8"/>
      <c r="N92" s="8"/>
    </row>
    <row r="93" spans="1:14" ht="25" x14ac:dyDescent="0.35">
      <c r="A93" s="6" t="s">
        <v>1390</v>
      </c>
      <c r="B93" s="6" t="s">
        <v>73</v>
      </c>
      <c r="C93" s="7" t="s">
        <v>1391</v>
      </c>
      <c r="D93" s="7" t="s">
        <v>1392</v>
      </c>
      <c r="E93" s="6" t="s">
        <v>703</v>
      </c>
      <c r="F93" s="6" t="s">
        <v>1393</v>
      </c>
      <c r="G93" s="6" t="s">
        <v>551</v>
      </c>
      <c r="H93" s="6" t="s">
        <v>550</v>
      </c>
      <c r="I93" s="6"/>
      <c r="J93" s="6" t="s">
        <v>873</v>
      </c>
      <c r="K93" s="6" t="s">
        <v>874</v>
      </c>
      <c r="L93" s="7"/>
      <c r="M93" s="8"/>
      <c r="N93" s="8"/>
    </row>
    <row r="94" spans="1:14" ht="25" x14ac:dyDescent="0.35">
      <c r="A94" s="6" t="s">
        <v>1394</v>
      </c>
      <c r="B94" s="6" t="s">
        <v>73</v>
      </c>
      <c r="C94" s="7" t="s">
        <v>1395</v>
      </c>
      <c r="D94" s="7" t="s">
        <v>1396</v>
      </c>
      <c r="E94" s="6" t="s">
        <v>703</v>
      </c>
      <c r="F94" s="6" t="s">
        <v>549</v>
      </c>
      <c r="G94" s="6" t="s">
        <v>1397</v>
      </c>
      <c r="H94" s="6" t="s">
        <v>1398</v>
      </c>
      <c r="I94" s="6"/>
      <c r="J94" s="6" t="s">
        <v>873</v>
      </c>
      <c r="K94" s="6" t="s">
        <v>874</v>
      </c>
      <c r="L94" s="7"/>
      <c r="M94" s="8"/>
      <c r="N94" s="8"/>
    </row>
    <row r="95" spans="1:14" ht="25" x14ac:dyDescent="0.35">
      <c r="A95" s="6" t="s">
        <v>1399</v>
      </c>
      <c r="B95" s="6" t="s">
        <v>73</v>
      </c>
      <c r="C95" s="7" t="s">
        <v>1400</v>
      </c>
      <c r="D95" s="7" t="s">
        <v>1401</v>
      </c>
      <c r="E95" s="6" t="s">
        <v>703</v>
      </c>
      <c r="F95" s="6" t="s">
        <v>1402</v>
      </c>
      <c r="G95" s="6" t="s">
        <v>1403</v>
      </c>
      <c r="H95" s="6" t="s">
        <v>1404</v>
      </c>
      <c r="I95" s="6"/>
      <c r="J95" s="6" t="s">
        <v>873</v>
      </c>
      <c r="K95" s="6" t="s">
        <v>865</v>
      </c>
      <c r="L95" s="7"/>
      <c r="M95" s="8"/>
      <c r="N95" s="8"/>
    </row>
    <row r="96" spans="1:14" ht="25" x14ac:dyDescent="0.35">
      <c r="A96" s="6" t="s">
        <v>1405</v>
      </c>
      <c r="B96" s="6" t="s">
        <v>73</v>
      </c>
      <c r="C96" s="7" t="s">
        <v>1406</v>
      </c>
      <c r="D96" s="7" t="s">
        <v>1407</v>
      </c>
      <c r="E96" s="6" t="s">
        <v>703</v>
      </c>
      <c r="F96" s="6" t="s">
        <v>1408</v>
      </c>
      <c r="G96" s="6" t="s">
        <v>540</v>
      </c>
      <c r="H96" s="6" t="s">
        <v>539</v>
      </c>
      <c r="I96" s="6"/>
      <c r="J96" s="6" t="s">
        <v>873</v>
      </c>
      <c r="K96" s="6" t="s">
        <v>865</v>
      </c>
      <c r="L96" s="7"/>
      <c r="M96" s="8"/>
      <c r="N96" s="8"/>
    </row>
    <row r="97" spans="1:14" ht="25" x14ac:dyDescent="0.35">
      <c r="A97" s="6" t="s">
        <v>1409</v>
      </c>
      <c r="B97" s="6" t="s">
        <v>73</v>
      </c>
      <c r="C97" s="7" t="s">
        <v>1410</v>
      </c>
      <c r="D97" s="7" t="s">
        <v>1411</v>
      </c>
      <c r="E97" s="6" t="s">
        <v>703</v>
      </c>
      <c r="F97" s="6" t="s">
        <v>1412</v>
      </c>
      <c r="G97" s="6" t="s">
        <v>1413</v>
      </c>
      <c r="H97" s="6" t="s">
        <v>1414</v>
      </c>
      <c r="I97" s="6"/>
      <c r="J97" s="6" t="s">
        <v>873</v>
      </c>
      <c r="K97" s="6" t="s">
        <v>874</v>
      </c>
      <c r="L97" s="7"/>
      <c r="M97" s="8"/>
      <c r="N97" s="8"/>
    </row>
    <row r="98" spans="1:14" ht="25" x14ac:dyDescent="0.35">
      <c r="A98" s="6" t="s">
        <v>1415</v>
      </c>
      <c r="B98" s="6" t="s">
        <v>73</v>
      </c>
      <c r="C98" s="7" t="s">
        <v>1416</v>
      </c>
      <c r="D98" s="7" t="s">
        <v>1417</v>
      </c>
      <c r="E98" s="6" t="s">
        <v>703</v>
      </c>
      <c r="F98" s="6" t="s">
        <v>582</v>
      </c>
      <c r="G98" s="6" t="s">
        <v>1418</v>
      </c>
      <c r="H98" s="6" t="s">
        <v>1419</v>
      </c>
      <c r="I98" s="6"/>
      <c r="J98" s="6" t="s">
        <v>884</v>
      </c>
      <c r="K98" s="6" t="s">
        <v>865</v>
      </c>
      <c r="L98" s="7" t="s">
        <v>1420</v>
      </c>
      <c r="M98" s="8"/>
      <c r="N98" s="8"/>
    </row>
    <row r="99" spans="1:14" ht="25" x14ac:dyDescent="0.35">
      <c r="A99" s="6" t="s">
        <v>1421</v>
      </c>
      <c r="B99" s="6" t="s">
        <v>73</v>
      </c>
      <c r="C99" s="7" t="s">
        <v>1422</v>
      </c>
      <c r="D99" s="7" t="s">
        <v>1423</v>
      </c>
      <c r="E99" s="6" t="s">
        <v>703</v>
      </c>
      <c r="F99" s="6" t="s">
        <v>1424</v>
      </c>
      <c r="G99" s="6" t="s">
        <v>1425</v>
      </c>
      <c r="H99" s="6" t="s">
        <v>1426</v>
      </c>
      <c r="I99" s="6"/>
      <c r="J99" s="6" t="s">
        <v>873</v>
      </c>
      <c r="K99" s="6" t="s">
        <v>891</v>
      </c>
      <c r="L99" s="7" t="s">
        <v>1427</v>
      </c>
      <c r="M99" s="8"/>
      <c r="N99" s="8"/>
    </row>
    <row r="100" spans="1:14" ht="25" x14ac:dyDescent="0.35">
      <c r="A100" s="6" t="s">
        <v>1428</v>
      </c>
      <c r="B100" s="6" t="s">
        <v>73</v>
      </c>
      <c r="C100" s="7" t="s">
        <v>1429</v>
      </c>
      <c r="D100" s="7" t="s">
        <v>1430</v>
      </c>
      <c r="E100" s="6" t="s">
        <v>703</v>
      </c>
      <c r="F100" s="6" t="s">
        <v>1431</v>
      </c>
      <c r="G100" s="6" t="s">
        <v>1432</v>
      </c>
      <c r="H100" s="6" t="s">
        <v>1433</v>
      </c>
      <c r="I100" s="6" t="s">
        <v>820</v>
      </c>
      <c r="J100" s="6" t="s">
        <v>873</v>
      </c>
      <c r="K100" s="6" t="s">
        <v>865</v>
      </c>
      <c r="L100" s="7"/>
      <c r="M100" s="8"/>
      <c r="N100" s="8"/>
    </row>
    <row r="101" spans="1:14" ht="25" x14ac:dyDescent="0.35">
      <c r="A101" s="6" t="s">
        <v>1434</v>
      </c>
      <c r="B101" s="6" t="s">
        <v>73</v>
      </c>
      <c r="C101" s="7" t="s">
        <v>1435</v>
      </c>
      <c r="D101" s="7" t="s">
        <v>1436</v>
      </c>
      <c r="E101" s="6" t="s">
        <v>703</v>
      </c>
      <c r="F101" s="6" t="s">
        <v>1437</v>
      </c>
      <c r="G101" s="6" t="s">
        <v>1438</v>
      </c>
      <c r="H101" s="6" t="s">
        <v>1439</v>
      </c>
      <c r="I101" s="6"/>
      <c r="J101" s="6" t="s">
        <v>873</v>
      </c>
      <c r="K101" s="6" t="s">
        <v>865</v>
      </c>
      <c r="L101" s="7" t="s">
        <v>1440</v>
      </c>
      <c r="M101" s="8"/>
      <c r="N101" s="8"/>
    </row>
    <row r="102" spans="1:14" x14ac:dyDescent="0.35">
      <c r="A102" s="6" t="s">
        <v>1441</v>
      </c>
      <c r="B102" s="6" t="s">
        <v>283</v>
      </c>
      <c r="C102" s="7" t="s">
        <v>1442</v>
      </c>
      <c r="D102" s="7" t="s">
        <v>1443</v>
      </c>
      <c r="E102" s="6" t="s">
        <v>699</v>
      </c>
      <c r="F102" s="6" t="s">
        <v>79</v>
      </c>
      <c r="G102" s="6" t="s">
        <v>76</v>
      </c>
      <c r="H102" s="6" t="s">
        <v>75</v>
      </c>
      <c r="I102" s="6" t="s">
        <v>1444</v>
      </c>
      <c r="J102" s="6" t="s">
        <v>864</v>
      </c>
      <c r="K102" s="6" t="s">
        <v>874</v>
      </c>
      <c r="L102" s="7" t="s">
        <v>1445</v>
      </c>
      <c r="M102" s="8"/>
      <c r="N102" s="8"/>
    </row>
    <row r="103" spans="1:14" ht="25" x14ac:dyDescent="0.35">
      <c r="A103" s="6" t="s">
        <v>1446</v>
      </c>
      <c r="B103" s="6" t="s">
        <v>283</v>
      </c>
      <c r="C103" s="7" t="s">
        <v>1447</v>
      </c>
      <c r="D103" s="7" t="s">
        <v>1448</v>
      </c>
      <c r="E103" s="6" t="s">
        <v>699</v>
      </c>
      <c r="F103" s="6" t="s">
        <v>1449</v>
      </c>
      <c r="G103" s="6" t="s">
        <v>1450</v>
      </c>
      <c r="H103" s="6" t="s">
        <v>1451</v>
      </c>
      <c r="I103" s="6" t="s">
        <v>212</v>
      </c>
      <c r="J103" s="6" t="s">
        <v>864</v>
      </c>
      <c r="K103" s="6" t="s">
        <v>891</v>
      </c>
      <c r="L103" s="7"/>
      <c r="M103" s="8"/>
      <c r="N103" s="8"/>
    </row>
    <row r="104" spans="1:14" ht="25" x14ac:dyDescent="0.35">
      <c r="A104" s="6" t="s">
        <v>1452</v>
      </c>
      <c r="B104" s="6" t="s">
        <v>283</v>
      </c>
      <c r="C104" s="7" t="s">
        <v>1453</v>
      </c>
      <c r="D104" s="7" t="s">
        <v>1454</v>
      </c>
      <c r="E104" s="6" t="s">
        <v>699</v>
      </c>
      <c r="F104" s="6" t="s">
        <v>113</v>
      </c>
      <c r="G104" s="6" t="s">
        <v>108</v>
      </c>
      <c r="H104" s="6" t="s">
        <v>107</v>
      </c>
      <c r="I104" s="6" t="s">
        <v>1209</v>
      </c>
      <c r="J104" s="6" t="s">
        <v>873</v>
      </c>
      <c r="K104" s="6" t="s">
        <v>891</v>
      </c>
      <c r="L104" s="7"/>
      <c r="M104" s="8"/>
      <c r="N104" s="8"/>
    </row>
    <row r="105" spans="1:14" ht="25" x14ac:dyDescent="0.35">
      <c r="A105" s="6" t="s">
        <v>1455</v>
      </c>
      <c r="B105" s="6" t="s">
        <v>283</v>
      </c>
      <c r="C105" s="7" t="s">
        <v>1456</v>
      </c>
      <c r="D105" s="7" t="s">
        <v>1457</v>
      </c>
      <c r="E105" s="6" t="s">
        <v>1458</v>
      </c>
      <c r="F105" s="6" t="s">
        <v>897</v>
      </c>
      <c r="G105" s="6" t="s">
        <v>101</v>
      </c>
      <c r="H105" s="6" t="s">
        <v>100</v>
      </c>
      <c r="I105" s="6" t="s">
        <v>105</v>
      </c>
      <c r="J105" s="6" t="s">
        <v>873</v>
      </c>
      <c r="K105" s="6" t="s">
        <v>874</v>
      </c>
      <c r="L105" s="7" t="s">
        <v>1459</v>
      </c>
      <c r="M105" s="8"/>
      <c r="N105" s="8"/>
    </row>
    <row r="106" spans="1:14" ht="25" x14ac:dyDescent="0.35">
      <c r="A106" s="6" t="s">
        <v>1460</v>
      </c>
      <c r="B106" s="6" t="s">
        <v>283</v>
      </c>
      <c r="C106" s="7" t="s">
        <v>1461</v>
      </c>
      <c r="D106" s="7" t="s">
        <v>1462</v>
      </c>
      <c r="E106" s="6" t="s">
        <v>1463</v>
      </c>
      <c r="F106" s="6" t="s">
        <v>1464</v>
      </c>
      <c r="G106" s="6" t="s">
        <v>1465</v>
      </c>
      <c r="H106" s="6" t="s">
        <v>1466</v>
      </c>
      <c r="I106" s="6" t="s">
        <v>1467</v>
      </c>
      <c r="J106" s="6" t="s">
        <v>884</v>
      </c>
      <c r="K106" s="6" t="s">
        <v>865</v>
      </c>
      <c r="L106" s="7"/>
      <c r="M106" s="8"/>
      <c r="N106" s="8"/>
    </row>
    <row r="107" spans="1:14" ht="25" x14ac:dyDescent="0.35">
      <c r="A107" s="6" t="s">
        <v>1468</v>
      </c>
      <c r="B107" s="6" t="s">
        <v>283</v>
      </c>
      <c r="C107" s="7" t="s">
        <v>1469</v>
      </c>
      <c r="D107" s="7" t="s">
        <v>1470</v>
      </c>
      <c r="E107" s="6" t="s">
        <v>699</v>
      </c>
      <c r="F107" s="6" t="s">
        <v>1471</v>
      </c>
      <c r="G107" s="6" t="s">
        <v>1450</v>
      </c>
      <c r="H107" s="6" t="s">
        <v>1451</v>
      </c>
      <c r="I107" s="6" t="s">
        <v>1209</v>
      </c>
      <c r="J107" s="6" t="s">
        <v>873</v>
      </c>
      <c r="K107" s="6" t="s">
        <v>891</v>
      </c>
      <c r="L107" s="7"/>
      <c r="M107" s="8"/>
      <c r="N107" s="8"/>
    </row>
    <row r="108" spans="1:14" ht="25" x14ac:dyDescent="0.35">
      <c r="A108" s="6" t="s">
        <v>1472</v>
      </c>
      <c r="B108" s="6" t="s">
        <v>283</v>
      </c>
      <c r="C108" s="7" t="s">
        <v>1473</v>
      </c>
      <c r="D108" s="7" t="s">
        <v>1474</v>
      </c>
      <c r="E108" s="6" t="s">
        <v>699</v>
      </c>
      <c r="F108" s="6" t="s">
        <v>195</v>
      </c>
      <c r="G108" s="6" t="s">
        <v>1475</v>
      </c>
      <c r="H108" s="6" t="s">
        <v>1476</v>
      </c>
      <c r="I108" s="6" t="s">
        <v>282</v>
      </c>
      <c r="J108" s="6" t="s">
        <v>864</v>
      </c>
      <c r="K108" s="6" t="s">
        <v>891</v>
      </c>
      <c r="L108" s="7" t="s">
        <v>1477</v>
      </c>
      <c r="M108" s="8"/>
      <c r="N108" s="8"/>
    </row>
    <row r="109" spans="1:14" ht="25" x14ac:dyDescent="0.35">
      <c r="A109" s="6" t="s">
        <v>1478</v>
      </c>
      <c r="B109" s="6" t="s">
        <v>283</v>
      </c>
      <c r="C109" s="7" t="s">
        <v>1479</v>
      </c>
      <c r="D109" s="7" t="s">
        <v>1480</v>
      </c>
      <c r="E109" s="6" t="s">
        <v>699</v>
      </c>
      <c r="F109" s="6" t="s">
        <v>1481</v>
      </c>
      <c r="G109" s="6" t="s">
        <v>1482</v>
      </c>
      <c r="H109" s="6" t="s">
        <v>1483</v>
      </c>
      <c r="I109" s="6" t="s">
        <v>282</v>
      </c>
      <c r="J109" s="6" t="s">
        <v>873</v>
      </c>
      <c r="K109" s="6" t="s">
        <v>865</v>
      </c>
      <c r="L109" s="7"/>
      <c r="M109" s="8"/>
      <c r="N109" s="8"/>
    </row>
    <row r="110" spans="1:14" ht="25" x14ac:dyDescent="0.35">
      <c r="A110" s="6" t="s">
        <v>1484</v>
      </c>
      <c r="B110" s="6" t="s">
        <v>283</v>
      </c>
      <c r="C110" s="7" t="s">
        <v>1485</v>
      </c>
      <c r="D110" s="7" t="s">
        <v>1486</v>
      </c>
      <c r="E110" s="6" t="s">
        <v>699</v>
      </c>
      <c r="F110" s="6" t="s">
        <v>235</v>
      </c>
      <c r="G110" s="6" t="s">
        <v>1116</v>
      </c>
      <c r="H110" s="6" t="s">
        <v>1117</v>
      </c>
      <c r="I110" s="6" t="s">
        <v>282</v>
      </c>
      <c r="J110" s="6" t="s">
        <v>873</v>
      </c>
      <c r="K110" s="6" t="s">
        <v>865</v>
      </c>
      <c r="L110" s="7" t="s">
        <v>1487</v>
      </c>
      <c r="M110" s="8"/>
      <c r="N110" s="8"/>
    </row>
    <row r="111" spans="1:14" ht="25" x14ac:dyDescent="0.35">
      <c r="A111" s="6" t="s">
        <v>1488</v>
      </c>
      <c r="B111" s="6" t="s">
        <v>283</v>
      </c>
      <c r="C111" s="7" t="s">
        <v>1489</v>
      </c>
      <c r="D111" s="7" t="s">
        <v>1490</v>
      </c>
      <c r="E111" s="6" t="s">
        <v>699</v>
      </c>
      <c r="F111" s="6" t="s">
        <v>177</v>
      </c>
      <c r="G111" s="6" t="s">
        <v>1016</v>
      </c>
      <c r="H111" s="6" t="s">
        <v>1017</v>
      </c>
      <c r="I111" s="6" t="s">
        <v>282</v>
      </c>
      <c r="J111" s="6" t="s">
        <v>873</v>
      </c>
      <c r="K111" s="6" t="s">
        <v>891</v>
      </c>
      <c r="L111" s="7"/>
      <c r="M111" s="8"/>
      <c r="N111" s="8"/>
    </row>
    <row r="112" spans="1:14" ht="25" x14ac:dyDescent="0.35">
      <c r="A112" s="6" t="s">
        <v>1491</v>
      </c>
      <c r="B112" s="6" t="s">
        <v>283</v>
      </c>
      <c r="C112" s="7" t="s">
        <v>1492</v>
      </c>
      <c r="D112" s="7" t="s">
        <v>1493</v>
      </c>
      <c r="E112" s="6" t="s">
        <v>699</v>
      </c>
      <c r="F112" s="6" t="s">
        <v>1494</v>
      </c>
      <c r="G112" s="6" t="s">
        <v>1495</v>
      </c>
      <c r="H112" s="6" t="s">
        <v>1496</v>
      </c>
      <c r="I112" s="6" t="s">
        <v>282</v>
      </c>
      <c r="J112" s="6" t="s">
        <v>884</v>
      </c>
      <c r="K112" s="6" t="s">
        <v>891</v>
      </c>
      <c r="L112" s="7" t="s">
        <v>1497</v>
      </c>
      <c r="M112" s="8"/>
      <c r="N112" s="8"/>
    </row>
    <row r="113" spans="1:14" ht="25" x14ac:dyDescent="0.35">
      <c r="A113" s="6" t="s">
        <v>1498</v>
      </c>
      <c r="B113" s="6" t="s">
        <v>283</v>
      </c>
      <c r="C113" s="7" t="s">
        <v>1499</v>
      </c>
      <c r="D113" s="7" t="s">
        <v>1500</v>
      </c>
      <c r="E113" s="6" t="s">
        <v>699</v>
      </c>
      <c r="F113" s="6" t="s">
        <v>1501</v>
      </c>
      <c r="G113" s="6" t="s">
        <v>224</v>
      </c>
      <c r="H113" s="6" t="s">
        <v>223</v>
      </c>
      <c r="I113" s="6" t="s">
        <v>1502</v>
      </c>
      <c r="J113" s="6" t="s">
        <v>1070</v>
      </c>
      <c r="K113" s="6" t="s">
        <v>891</v>
      </c>
      <c r="L113" s="7" t="s">
        <v>1503</v>
      </c>
      <c r="M113" s="8"/>
      <c r="N113" s="8"/>
    </row>
    <row r="114" spans="1:14" ht="25" x14ac:dyDescent="0.35">
      <c r="A114" s="6" t="s">
        <v>1504</v>
      </c>
      <c r="B114" s="6" t="s">
        <v>283</v>
      </c>
      <c r="C114" s="7" t="s">
        <v>1505</v>
      </c>
      <c r="D114" s="7" t="s">
        <v>1506</v>
      </c>
      <c r="E114" s="6" t="s">
        <v>699</v>
      </c>
      <c r="F114" s="6" t="s">
        <v>1507</v>
      </c>
      <c r="G114" s="6" t="s">
        <v>1508</v>
      </c>
      <c r="H114" s="6" t="s">
        <v>1509</v>
      </c>
      <c r="I114" s="6" t="s">
        <v>282</v>
      </c>
      <c r="J114" s="6" t="s">
        <v>873</v>
      </c>
      <c r="K114" s="6" t="s">
        <v>865</v>
      </c>
      <c r="L114" s="7"/>
      <c r="M114" s="8"/>
      <c r="N114" s="8"/>
    </row>
    <row r="115" spans="1:14" ht="25" x14ac:dyDescent="0.35">
      <c r="A115" s="6" t="s">
        <v>1510</v>
      </c>
      <c r="B115" s="6" t="s">
        <v>283</v>
      </c>
      <c r="C115" s="7" t="s">
        <v>1511</v>
      </c>
      <c r="D115" s="7" t="s">
        <v>1512</v>
      </c>
      <c r="E115" s="6" t="s">
        <v>699</v>
      </c>
      <c r="F115" s="6" t="s">
        <v>1513</v>
      </c>
      <c r="G115" s="6" t="s">
        <v>1514</v>
      </c>
      <c r="H115" s="6" t="s">
        <v>1515</v>
      </c>
      <c r="I115" s="6" t="s">
        <v>282</v>
      </c>
      <c r="J115" s="6" t="s">
        <v>864</v>
      </c>
      <c r="K115" s="6" t="s">
        <v>865</v>
      </c>
      <c r="L115" s="7"/>
      <c r="M115" s="8"/>
      <c r="N115" s="8"/>
    </row>
    <row r="116" spans="1:14" ht="25" x14ac:dyDescent="0.35">
      <c r="A116" s="6" t="s">
        <v>1516</v>
      </c>
      <c r="B116" s="6" t="s">
        <v>283</v>
      </c>
      <c r="C116" s="7" t="s">
        <v>1517</v>
      </c>
      <c r="D116" s="7" t="s">
        <v>1518</v>
      </c>
      <c r="E116" s="6" t="s">
        <v>699</v>
      </c>
      <c r="F116" s="6" t="s">
        <v>320</v>
      </c>
      <c r="G116" s="6" t="s">
        <v>1519</v>
      </c>
      <c r="H116" s="6" t="s">
        <v>1520</v>
      </c>
      <c r="I116" s="6" t="s">
        <v>282</v>
      </c>
      <c r="J116" s="6" t="s">
        <v>1070</v>
      </c>
      <c r="K116" s="6" t="s">
        <v>891</v>
      </c>
      <c r="L116" s="7"/>
      <c r="M116" s="8"/>
      <c r="N116" s="8"/>
    </row>
    <row r="117" spans="1:14" ht="25" x14ac:dyDescent="0.35">
      <c r="A117" s="6" t="s">
        <v>1521</v>
      </c>
      <c r="B117" s="6" t="s">
        <v>283</v>
      </c>
      <c r="C117" s="7" t="s">
        <v>1522</v>
      </c>
      <c r="D117" s="7" t="s">
        <v>1523</v>
      </c>
      <c r="E117" s="6" t="s">
        <v>699</v>
      </c>
      <c r="F117" s="6" t="s">
        <v>1524</v>
      </c>
      <c r="G117" s="6" t="s">
        <v>1525</v>
      </c>
      <c r="H117" s="6" t="s">
        <v>1526</v>
      </c>
      <c r="I117" s="6"/>
      <c r="J117" s="6" t="s">
        <v>884</v>
      </c>
      <c r="K117" s="6" t="s">
        <v>865</v>
      </c>
      <c r="L117" s="7" t="s">
        <v>1527</v>
      </c>
      <c r="M117" s="8"/>
      <c r="N117" s="8"/>
    </row>
    <row r="118" spans="1:14" ht="25" x14ac:dyDescent="0.35">
      <c r="A118" s="6" t="s">
        <v>1528</v>
      </c>
      <c r="B118" s="6" t="s">
        <v>283</v>
      </c>
      <c r="C118" s="7" t="s">
        <v>1529</v>
      </c>
      <c r="D118" s="7" t="s">
        <v>1530</v>
      </c>
      <c r="E118" s="6" t="s">
        <v>699</v>
      </c>
      <c r="F118" s="6" t="s">
        <v>1531</v>
      </c>
      <c r="G118" s="6" t="s">
        <v>1532</v>
      </c>
      <c r="H118" s="6" t="s">
        <v>1533</v>
      </c>
      <c r="I118" s="6" t="s">
        <v>282</v>
      </c>
      <c r="J118" s="6" t="s">
        <v>873</v>
      </c>
      <c r="K118" s="6" t="s">
        <v>865</v>
      </c>
      <c r="L118" s="7" t="s">
        <v>1534</v>
      </c>
      <c r="M118" s="8"/>
      <c r="N118" s="8"/>
    </row>
    <row r="119" spans="1:14" ht="25" x14ac:dyDescent="0.35">
      <c r="A119" s="6" t="s">
        <v>1535</v>
      </c>
      <c r="B119" s="6" t="s">
        <v>283</v>
      </c>
      <c r="C119" s="7" t="s">
        <v>1536</v>
      </c>
      <c r="D119" s="7" t="s">
        <v>1537</v>
      </c>
      <c r="E119" s="6" t="s">
        <v>699</v>
      </c>
      <c r="F119" s="6" t="s">
        <v>176</v>
      </c>
      <c r="G119" s="6" t="s">
        <v>1538</v>
      </c>
      <c r="H119" s="6" t="s">
        <v>1539</v>
      </c>
      <c r="I119" s="6" t="s">
        <v>282</v>
      </c>
      <c r="J119" s="6" t="s">
        <v>873</v>
      </c>
      <c r="K119" s="6" t="s">
        <v>865</v>
      </c>
      <c r="L119" s="7" t="s">
        <v>1540</v>
      </c>
      <c r="M119" s="8"/>
      <c r="N119" s="8"/>
    </row>
    <row r="120" spans="1:14" ht="25" x14ac:dyDescent="0.35">
      <c r="A120" s="6" t="s">
        <v>1541</v>
      </c>
      <c r="B120" s="6" t="s">
        <v>283</v>
      </c>
      <c r="C120" s="7" t="s">
        <v>1542</v>
      </c>
      <c r="D120" s="7" t="s">
        <v>1543</v>
      </c>
      <c r="E120" s="6" t="s">
        <v>1544</v>
      </c>
      <c r="F120" s="6" t="s">
        <v>1545</v>
      </c>
      <c r="G120" s="6" t="s">
        <v>380</v>
      </c>
      <c r="H120" s="6" t="s">
        <v>379</v>
      </c>
      <c r="I120" s="6"/>
      <c r="J120" s="6" t="s">
        <v>1070</v>
      </c>
      <c r="K120" s="6" t="s">
        <v>891</v>
      </c>
      <c r="L120" s="7" t="s">
        <v>1546</v>
      </c>
      <c r="M120" s="8"/>
      <c r="N120" s="8"/>
    </row>
    <row r="121" spans="1:14" ht="25" x14ac:dyDescent="0.35">
      <c r="A121" s="6" t="s">
        <v>1547</v>
      </c>
      <c r="B121" s="6" t="s">
        <v>283</v>
      </c>
      <c r="C121" s="7" t="s">
        <v>1548</v>
      </c>
      <c r="D121" s="7" t="s">
        <v>1549</v>
      </c>
      <c r="E121" s="6" t="s">
        <v>699</v>
      </c>
      <c r="F121" s="6" t="s">
        <v>392</v>
      </c>
      <c r="G121" s="6" t="s">
        <v>1550</v>
      </c>
      <c r="H121" s="6" t="s">
        <v>1551</v>
      </c>
      <c r="I121" s="6" t="s">
        <v>282</v>
      </c>
      <c r="J121" s="6" t="s">
        <v>864</v>
      </c>
      <c r="K121" s="6" t="s">
        <v>865</v>
      </c>
      <c r="L121" s="7"/>
      <c r="M121" s="8"/>
      <c r="N121" s="8"/>
    </row>
    <row r="122" spans="1:14" ht="25" x14ac:dyDescent="0.35">
      <c r="A122" s="6" t="s">
        <v>1552</v>
      </c>
      <c r="B122" s="6" t="s">
        <v>283</v>
      </c>
      <c r="C122" s="7" t="s">
        <v>1553</v>
      </c>
      <c r="D122" s="7" t="s">
        <v>1554</v>
      </c>
      <c r="E122" s="6" t="s">
        <v>699</v>
      </c>
      <c r="F122" s="6" t="s">
        <v>1555</v>
      </c>
      <c r="G122" s="6" t="s">
        <v>1556</v>
      </c>
      <c r="H122" s="6" t="s">
        <v>1557</v>
      </c>
      <c r="I122" s="6" t="s">
        <v>282</v>
      </c>
      <c r="J122" s="6" t="s">
        <v>873</v>
      </c>
      <c r="K122" s="6" t="s">
        <v>865</v>
      </c>
      <c r="L122" s="7" t="s">
        <v>1558</v>
      </c>
      <c r="M122" s="8"/>
      <c r="N122" s="8"/>
    </row>
    <row r="123" spans="1:14" ht="25" x14ac:dyDescent="0.35">
      <c r="A123" s="6" t="s">
        <v>1559</v>
      </c>
      <c r="B123" s="6" t="s">
        <v>283</v>
      </c>
      <c r="C123" s="7" t="s">
        <v>1560</v>
      </c>
      <c r="D123" s="7" t="s">
        <v>1561</v>
      </c>
      <c r="E123" s="6" t="s">
        <v>699</v>
      </c>
      <c r="F123" s="6" t="s">
        <v>1562</v>
      </c>
      <c r="G123" s="6" t="s">
        <v>1563</v>
      </c>
      <c r="H123" s="6" t="s">
        <v>1564</v>
      </c>
      <c r="I123" s="6"/>
      <c r="J123" s="6" t="s">
        <v>873</v>
      </c>
      <c r="K123" s="6" t="s">
        <v>865</v>
      </c>
      <c r="L123" s="7"/>
      <c r="M123" s="8"/>
      <c r="N123" s="8"/>
    </row>
    <row r="124" spans="1:14" ht="25" x14ac:dyDescent="0.35">
      <c r="A124" s="6" t="s">
        <v>1565</v>
      </c>
      <c r="B124" s="6" t="s">
        <v>283</v>
      </c>
      <c r="C124" s="7" t="s">
        <v>1566</v>
      </c>
      <c r="D124" s="7" t="s">
        <v>1567</v>
      </c>
      <c r="E124" s="6" t="s">
        <v>699</v>
      </c>
      <c r="F124" s="6" t="s">
        <v>1568</v>
      </c>
      <c r="G124" s="6" t="s">
        <v>1569</v>
      </c>
      <c r="H124" s="6" t="s">
        <v>1570</v>
      </c>
      <c r="I124" s="6" t="s">
        <v>427</v>
      </c>
      <c r="J124" s="6" t="s">
        <v>884</v>
      </c>
      <c r="K124" s="6" t="s">
        <v>865</v>
      </c>
      <c r="L124" s="7" t="s">
        <v>1571</v>
      </c>
      <c r="M124" s="8"/>
      <c r="N124" s="8"/>
    </row>
    <row r="125" spans="1:14" ht="25" x14ac:dyDescent="0.35">
      <c r="A125" s="6" t="s">
        <v>1572</v>
      </c>
      <c r="B125" s="6" t="s">
        <v>283</v>
      </c>
      <c r="C125" s="7" t="s">
        <v>1573</v>
      </c>
      <c r="D125" s="7" t="s">
        <v>1574</v>
      </c>
      <c r="E125" s="6" t="s">
        <v>699</v>
      </c>
      <c r="F125" s="6" t="s">
        <v>235</v>
      </c>
      <c r="G125" s="6" t="s">
        <v>1575</v>
      </c>
      <c r="H125" s="6" t="s">
        <v>1576</v>
      </c>
      <c r="I125" s="6" t="s">
        <v>282</v>
      </c>
      <c r="J125" s="6" t="s">
        <v>873</v>
      </c>
      <c r="K125" s="6" t="s">
        <v>891</v>
      </c>
      <c r="L125" s="7"/>
      <c r="M125" s="8"/>
      <c r="N125" s="8"/>
    </row>
    <row r="126" spans="1:14" ht="25" x14ac:dyDescent="0.35">
      <c r="A126" s="6" t="s">
        <v>1577</v>
      </c>
      <c r="B126" s="6" t="s">
        <v>283</v>
      </c>
      <c r="C126" s="7" t="s">
        <v>1578</v>
      </c>
      <c r="D126" s="7" t="s">
        <v>1579</v>
      </c>
      <c r="E126" s="6" t="s">
        <v>699</v>
      </c>
      <c r="F126" s="6" t="s">
        <v>1580</v>
      </c>
      <c r="G126" s="6" t="s">
        <v>466</v>
      </c>
      <c r="H126" s="6" t="s">
        <v>465</v>
      </c>
      <c r="I126" s="6" t="s">
        <v>427</v>
      </c>
      <c r="J126" s="6" t="s">
        <v>873</v>
      </c>
      <c r="K126" s="6" t="s">
        <v>874</v>
      </c>
      <c r="L126" s="7" t="s">
        <v>1581</v>
      </c>
      <c r="M126" s="8"/>
      <c r="N126" s="8"/>
    </row>
    <row r="127" spans="1:14" ht="25" x14ac:dyDescent="0.35">
      <c r="A127" s="6" t="s">
        <v>1582</v>
      </c>
      <c r="B127" s="6" t="s">
        <v>283</v>
      </c>
      <c r="C127" s="7" t="s">
        <v>1583</v>
      </c>
      <c r="D127" s="7" t="s">
        <v>1584</v>
      </c>
      <c r="E127" s="6" t="s">
        <v>699</v>
      </c>
      <c r="F127" s="6" t="s">
        <v>1585</v>
      </c>
      <c r="G127" s="6" t="s">
        <v>1586</v>
      </c>
      <c r="H127" s="6" t="s">
        <v>1587</v>
      </c>
      <c r="I127" s="6" t="s">
        <v>427</v>
      </c>
      <c r="J127" s="6" t="s">
        <v>873</v>
      </c>
      <c r="K127" s="6" t="s">
        <v>865</v>
      </c>
      <c r="L127" s="7"/>
      <c r="M127" s="8"/>
      <c r="N127" s="8"/>
    </row>
    <row r="128" spans="1:14" ht="25" x14ac:dyDescent="0.35">
      <c r="A128" s="6" t="s">
        <v>1588</v>
      </c>
      <c r="B128" s="6" t="s">
        <v>283</v>
      </c>
      <c r="C128" s="7" t="s">
        <v>1589</v>
      </c>
      <c r="D128" s="7" t="s">
        <v>1590</v>
      </c>
      <c r="E128" s="6" t="s">
        <v>699</v>
      </c>
      <c r="F128" s="6" t="s">
        <v>1591</v>
      </c>
      <c r="G128" s="6" t="s">
        <v>1592</v>
      </c>
      <c r="H128" s="6" t="s">
        <v>1593</v>
      </c>
      <c r="I128" s="6" t="s">
        <v>282</v>
      </c>
      <c r="J128" s="6" t="s">
        <v>1594</v>
      </c>
      <c r="K128" s="6" t="s">
        <v>865</v>
      </c>
      <c r="L128" s="7" t="s">
        <v>1595</v>
      </c>
      <c r="M128" s="8"/>
      <c r="N128" s="8"/>
    </row>
    <row r="129" spans="1:14" ht="25" x14ac:dyDescent="0.35">
      <c r="A129" s="6" t="s">
        <v>1596</v>
      </c>
      <c r="B129" s="6" t="s">
        <v>283</v>
      </c>
      <c r="C129" s="7" t="s">
        <v>1597</v>
      </c>
      <c r="D129" s="7" t="s">
        <v>1598</v>
      </c>
      <c r="E129" s="6" t="s">
        <v>699</v>
      </c>
      <c r="F129" s="6" t="s">
        <v>498</v>
      </c>
      <c r="G129" s="6" t="s">
        <v>1599</v>
      </c>
      <c r="H129" s="6" t="s">
        <v>1600</v>
      </c>
      <c r="I129" s="6" t="s">
        <v>1601</v>
      </c>
      <c r="J129" s="6" t="s">
        <v>873</v>
      </c>
      <c r="K129" s="6" t="s">
        <v>865</v>
      </c>
      <c r="L129" s="7"/>
      <c r="M129" s="8"/>
      <c r="N129" s="8"/>
    </row>
    <row r="130" spans="1:14" ht="25" x14ac:dyDescent="0.35">
      <c r="A130" s="6" t="s">
        <v>1602</v>
      </c>
      <c r="B130" s="6" t="s">
        <v>283</v>
      </c>
      <c r="C130" s="7" t="s">
        <v>1603</v>
      </c>
      <c r="D130" s="7" t="s">
        <v>1604</v>
      </c>
      <c r="E130" s="6" t="s">
        <v>699</v>
      </c>
      <c r="F130" s="6" t="s">
        <v>1591</v>
      </c>
      <c r="G130" s="6" t="s">
        <v>1605</v>
      </c>
      <c r="H130" s="6" t="s">
        <v>1606</v>
      </c>
      <c r="I130" s="6"/>
      <c r="J130" s="6" t="s">
        <v>1594</v>
      </c>
      <c r="K130" s="6" t="s">
        <v>865</v>
      </c>
      <c r="L130" s="7" t="s">
        <v>1607</v>
      </c>
      <c r="M130" s="8"/>
      <c r="N130" s="8"/>
    </row>
    <row r="131" spans="1:14" ht="25" x14ac:dyDescent="0.35">
      <c r="A131" s="6" t="s">
        <v>1608</v>
      </c>
      <c r="B131" s="6" t="s">
        <v>283</v>
      </c>
      <c r="C131" s="7" t="s">
        <v>1609</v>
      </c>
      <c r="D131" s="7" t="s">
        <v>1610</v>
      </c>
      <c r="E131" s="6" t="s">
        <v>699</v>
      </c>
      <c r="F131" s="6" t="s">
        <v>506</v>
      </c>
      <c r="G131" s="6" t="s">
        <v>1611</v>
      </c>
      <c r="H131" s="6" t="s">
        <v>1612</v>
      </c>
      <c r="I131" s="6" t="s">
        <v>282</v>
      </c>
      <c r="J131" s="6" t="s">
        <v>864</v>
      </c>
      <c r="K131" s="6" t="s">
        <v>865</v>
      </c>
      <c r="L131" s="7"/>
      <c r="M131" s="8"/>
      <c r="N131" s="8"/>
    </row>
    <row r="132" spans="1:14" ht="25" x14ac:dyDescent="0.35">
      <c r="A132" s="6" t="s">
        <v>1613</v>
      </c>
      <c r="B132" s="6" t="s">
        <v>283</v>
      </c>
      <c r="C132" s="7" t="s">
        <v>1614</v>
      </c>
      <c r="D132" s="7" t="s">
        <v>1615</v>
      </c>
      <c r="E132" s="6" t="s">
        <v>1616</v>
      </c>
      <c r="F132" s="6" t="s">
        <v>1617</v>
      </c>
      <c r="G132" s="6" t="s">
        <v>618</v>
      </c>
      <c r="H132" s="6" t="s">
        <v>617</v>
      </c>
      <c r="I132" s="6" t="s">
        <v>967</v>
      </c>
      <c r="J132" s="6" t="s">
        <v>873</v>
      </c>
      <c r="K132" s="6" t="s">
        <v>865</v>
      </c>
      <c r="L132" s="7"/>
      <c r="M132" s="8"/>
      <c r="N132" s="8"/>
    </row>
    <row r="133" spans="1:14" ht="25" x14ac:dyDescent="0.35">
      <c r="A133" s="6" t="s">
        <v>1618</v>
      </c>
      <c r="B133" s="6" t="s">
        <v>283</v>
      </c>
      <c r="C133" s="7" t="s">
        <v>1619</v>
      </c>
      <c r="D133" s="7" t="s">
        <v>1620</v>
      </c>
      <c r="E133" s="6" t="s">
        <v>699</v>
      </c>
      <c r="F133" s="6" t="s">
        <v>1621</v>
      </c>
      <c r="G133" s="6" t="s">
        <v>1622</v>
      </c>
      <c r="H133" s="6" t="s">
        <v>1623</v>
      </c>
      <c r="I133" s="6" t="s">
        <v>1124</v>
      </c>
      <c r="J133" s="6" t="s">
        <v>873</v>
      </c>
      <c r="K133" s="6" t="s">
        <v>891</v>
      </c>
      <c r="L133" s="7" t="s">
        <v>1624</v>
      </c>
      <c r="M133" s="8"/>
      <c r="N133" s="8"/>
    </row>
    <row r="134" spans="1:14" ht="25" x14ac:dyDescent="0.35">
      <c r="A134" s="6" t="s">
        <v>1625</v>
      </c>
      <c r="B134" s="6" t="s">
        <v>283</v>
      </c>
      <c r="C134" s="7" t="s">
        <v>1626</v>
      </c>
      <c r="D134" s="7" t="s">
        <v>1627</v>
      </c>
      <c r="E134" s="6" t="s">
        <v>699</v>
      </c>
      <c r="F134" s="6" t="s">
        <v>1591</v>
      </c>
      <c r="G134" s="6" t="s">
        <v>1628</v>
      </c>
      <c r="H134" s="6" t="s">
        <v>1629</v>
      </c>
      <c r="I134" s="6"/>
      <c r="J134" s="6" t="s">
        <v>1271</v>
      </c>
      <c r="K134" s="6" t="s">
        <v>891</v>
      </c>
      <c r="L134" s="7" t="s">
        <v>1630</v>
      </c>
      <c r="M134" s="8"/>
      <c r="N134" s="8"/>
    </row>
    <row r="135" spans="1:14" ht="25" x14ac:dyDescent="0.35">
      <c r="A135" s="6" t="s">
        <v>1631</v>
      </c>
      <c r="B135" s="6" t="s">
        <v>283</v>
      </c>
      <c r="C135" s="7" t="s">
        <v>1632</v>
      </c>
      <c r="D135" s="7" t="s">
        <v>1633</v>
      </c>
      <c r="E135" s="6" t="s">
        <v>699</v>
      </c>
      <c r="F135" s="6" t="s">
        <v>1634</v>
      </c>
      <c r="G135" s="6" t="s">
        <v>1635</v>
      </c>
      <c r="H135" s="6" t="s">
        <v>1636</v>
      </c>
      <c r="I135" s="6"/>
      <c r="J135" s="6" t="s">
        <v>884</v>
      </c>
      <c r="K135" s="6" t="s">
        <v>891</v>
      </c>
      <c r="L135" s="7" t="s">
        <v>1637</v>
      </c>
      <c r="M135" s="8"/>
      <c r="N135" s="8"/>
    </row>
    <row r="136" spans="1:14" ht="25" x14ac:dyDescent="0.35">
      <c r="A136" s="6" t="s">
        <v>1638</v>
      </c>
      <c r="B136" s="6" t="s">
        <v>283</v>
      </c>
      <c r="C136" s="7" t="s">
        <v>1639</v>
      </c>
      <c r="D136" s="7" t="s">
        <v>1640</v>
      </c>
      <c r="E136" s="6" t="s">
        <v>699</v>
      </c>
      <c r="F136" s="6" t="s">
        <v>1641</v>
      </c>
      <c r="G136" s="6" t="s">
        <v>613</v>
      </c>
      <c r="H136" s="6" t="s">
        <v>612</v>
      </c>
      <c r="I136" s="6" t="s">
        <v>282</v>
      </c>
      <c r="J136" s="6" t="s">
        <v>873</v>
      </c>
      <c r="K136" s="6" t="s">
        <v>865</v>
      </c>
      <c r="L136" s="7"/>
      <c r="M136" s="8"/>
      <c r="N136" s="8"/>
    </row>
    <row r="137" spans="1:14" ht="25" x14ac:dyDescent="0.35">
      <c r="A137" s="6" t="s">
        <v>1642</v>
      </c>
      <c r="B137" s="6" t="s">
        <v>283</v>
      </c>
      <c r="C137" s="7" t="s">
        <v>1643</v>
      </c>
      <c r="D137" s="7" t="s">
        <v>1644</v>
      </c>
      <c r="E137" s="6" t="s">
        <v>699</v>
      </c>
      <c r="F137" s="6" t="s">
        <v>1645</v>
      </c>
      <c r="G137" s="6" t="s">
        <v>1646</v>
      </c>
      <c r="H137" s="6" t="s">
        <v>1647</v>
      </c>
      <c r="I137" s="6"/>
      <c r="J137" s="6" t="s">
        <v>884</v>
      </c>
      <c r="K137" s="6" t="s">
        <v>891</v>
      </c>
      <c r="L137" s="7" t="s">
        <v>1648</v>
      </c>
      <c r="M137" s="8"/>
      <c r="N137" s="8"/>
    </row>
    <row r="138" spans="1:14" ht="25" x14ac:dyDescent="0.35">
      <c r="A138" s="6" t="s">
        <v>1649</v>
      </c>
      <c r="B138" s="6" t="s">
        <v>283</v>
      </c>
      <c r="C138" s="7" t="s">
        <v>1650</v>
      </c>
      <c r="D138" s="7" t="s">
        <v>1651</v>
      </c>
      <c r="E138" s="6" t="s">
        <v>699</v>
      </c>
      <c r="F138" s="6" t="s">
        <v>1652</v>
      </c>
      <c r="G138" s="6" t="s">
        <v>1653</v>
      </c>
      <c r="H138" s="6" t="s">
        <v>1654</v>
      </c>
      <c r="I138" s="6"/>
      <c r="J138" s="6" t="s">
        <v>884</v>
      </c>
      <c r="K138" s="6" t="s">
        <v>865</v>
      </c>
      <c r="L138" s="7"/>
      <c r="M138" s="8"/>
      <c r="N138" s="8"/>
    </row>
    <row r="139" spans="1:14" ht="25" x14ac:dyDescent="0.35">
      <c r="A139" s="6" t="s">
        <v>1655</v>
      </c>
      <c r="B139" s="6" t="s">
        <v>283</v>
      </c>
      <c r="C139" s="7" t="s">
        <v>1656</v>
      </c>
      <c r="D139" s="7" t="s">
        <v>1657</v>
      </c>
      <c r="E139" s="6" t="s">
        <v>699</v>
      </c>
      <c r="F139" s="6" t="s">
        <v>1658</v>
      </c>
      <c r="G139" s="6" t="s">
        <v>1659</v>
      </c>
      <c r="H139" s="6" t="s">
        <v>1660</v>
      </c>
      <c r="I139" s="6"/>
      <c r="J139" s="6" t="s">
        <v>884</v>
      </c>
      <c r="K139" s="6" t="s">
        <v>865</v>
      </c>
      <c r="L139" s="7"/>
      <c r="M139" s="8"/>
      <c r="N139" s="8"/>
    </row>
    <row r="140" spans="1:14" ht="25" x14ac:dyDescent="0.35">
      <c r="A140" s="6" t="s">
        <v>1661</v>
      </c>
      <c r="B140" s="6" t="s">
        <v>283</v>
      </c>
      <c r="C140" s="7" t="s">
        <v>1662</v>
      </c>
      <c r="D140" s="7" t="s">
        <v>1663</v>
      </c>
      <c r="E140" s="6" t="s">
        <v>699</v>
      </c>
      <c r="F140" s="6" t="s">
        <v>606</v>
      </c>
      <c r="G140" s="6" t="s">
        <v>1664</v>
      </c>
      <c r="H140" s="6" t="s">
        <v>1665</v>
      </c>
      <c r="I140" s="6"/>
      <c r="J140" s="6" t="s">
        <v>873</v>
      </c>
      <c r="K140" s="6" t="s">
        <v>874</v>
      </c>
      <c r="L140" s="7"/>
      <c r="M140" s="8"/>
      <c r="N140" s="8"/>
    </row>
    <row r="141" spans="1:14" ht="25" x14ac:dyDescent="0.35">
      <c r="A141" s="6" t="s">
        <v>1666</v>
      </c>
      <c r="B141" s="6" t="s">
        <v>283</v>
      </c>
      <c r="C141" s="7" t="s">
        <v>1667</v>
      </c>
      <c r="D141" s="7" t="s">
        <v>1668</v>
      </c>
      <c r="E141" s="6" t="s">
        <v>699</v>
      </c>
      <c r="F141" s="6" t="s">
        <v>1669</v>
      </c>
      <c r="G141" s="6" t="s">
        <v>1670</v>
      </c>
      <c r="H141" s="6" t="s">
        <v>1671</v>
      </c>
      <c r="I141" s="6"/>
      <c r="J141" s="6" t="s">
        <v>884</v>
      </c>
      <c r="K141" s="6" t="s">
        <v>865</v>
      </c>
      <c r="L141" s="7"/>
      <c r="M141" s="8"/>
      <c r="N141" s="8"/>
    </row>
    <row r="142" spans="1:14" ht="25" x14ac:dyDescent="0.35">
      <c r="A142" s="6" t="s">
        <v>1672</v>
      </c>
      <c r="B142" s="6" t="s">
        <v>283</v>
      </c>
      <c r="C142" s="7" t="s">
        <v>1673</v>
      </c>
      <c r="D142" s="7" t="s">
        <v>1674</v>
      </c>
      <c r="E142" s="6" t="s">
        <v>1463</v>
      </c>
      <c r="F142" s="6" t="s">
        <v>1675</v>
      </c>
      <c r="G142" s="6" t="s">
        <v>1676</v>
      </c>
      <c r="H142" s="6" t="s">
        <v>1677</v>
      </c>
      <c r="I142" s="6"/>
      <c r="J142" s="6" t="s">
        <v>884</v>
      </c>
      <c r="K142" s="6" t="s">
        <v>891</v>
      </c>
      <c r="L142" s="7"/>
      <c r="M142" s="8"/>
      <c r="N142" s="8"/>
    </row>
    <row r="143" spans="1:14" ht="25" x14ac:dyDescent="0.35">
      <c r="A143" s="6" t="s">
        <v>1678</v>
      </c>
      <c r="B143" s="6" t="s">
        <v>283</v>
      </c>
      <c r="C143" s="7" t="s">
        <v>1679</v>
      </c>
      <c r="D143" s="7" t="s">
        <v>1680</v>
      </c>
      <c r="E143" s="6" t="s">
        <v>699</v>
      </c>
      <c r="F143" s="6" t="s">
        <v>1681</v>
      </c>
      <c r="G143" s="6" t="s">
        <v>1682</v>
      </c>
      <c r="H143" s="6" t="s">
        <v>1683</v>
      </c>
      <c r="I143" s="6"/>
      <c r="J143" s="6" t="s">
        <v>1594</v>
      </c>
      <c r="K143" s="6" t="s">
        <v>865</v>
      </c>
      <c r="L143" s="7" t="s">
        <v>1684</v>
      </c>
      <c r="M143" s="8"/>
      <c r="N143" s="8"/>
    </row>
    <row r="144" spans="1:14" ht="25" x14ac:dyDescent="0.35">
      <c r="A144" s="6" t="s">
        <v>1685</v>
      </c>
      <c r="B144" s="6" t="s">
        <v>283</v>
      </c>
      <c r="C144" s="7" t="s">
        <v>1686</v>
      </c>
      <c r="D144" s="7" t="s">
        <v>1687</v>
      </c>
      <c r="E144" s="6" t="s">
        <v>699</v>
      </c>
      <c r="F144" s="6" t="s">
        <v>1688</v>
      </c>
      <c r="G144" s="6" t="s">
        <v>667</v>
      </c>
      <c r="H144" s="6" t="s">
        <v>666</v>
      </c>
      <c r="I144" s="6"/>
      <c r="J144" s="6" t="s">
        <v>1594</v>
      </c>
      <c r="K144" s="6" t="s">
        <v>865</v>
      </c>
      <c r="L144" s="7" t="s">
        <v>1689</v>
      </c>
      <c r="M144" s="8"/>
      <c r="N144" s="8"/>
    </row>
    <row r="145" spans="1:14" ht="25" x14ac:dyDescent="0.35">
      <c r="A145" s="6" t="s">
        <v>1690</v>
      </c>
      <c r="B145" s="6" t="s">
        <v>283</v>
      </c>
      <c r="C145" s="7" t="s">
        <v>1691</v>
      </c>
      <c r="D145" s="7" t="s">
        <v>1692</v>
      </c>
      <c r="E145" s="6" t="s">
        <v>699</v>
      </c>
      <c r="F145" s="6" t="s">
        <v>1693</v>
      </c>
      <c r="G145" s="6" t="s">
        <v>1694</v>
      </c>
      <c r="H145" s="6" t="s">
        <v>1695</v>
      </c>
      <c r="I145" s="6" t="s">
        <v>282</v>
      </c>
      <c r="J145" s="6" t="s">
        <v>873</v>
      </c>
      <c r="K145" s="6" t="s">
        <v>891</v>
      </c>
      <c r="L145" s="7" t="s">
        <v>1696</v>
      </c>
      <c r="M145" s="8"/>
      <c r="N145" s="8"/>
    </row>
    <row r="146" spans="1:14" ht="25" x14ac:dyDescent="0.35">
      <c r="A146" s="6" t="s">
        <v>1697</v>
      </c>
      <c r="B146" s="6" t="s">
        <v>283</v>
      </c>
      <c r="C146" s="7" t="s">
        <v>1698</v>
      </c>
      <c r="D146" s="7" t="s">
        <v>1699</v>
      </c>
      <c r="E146" s="6" t="s">
        <v>699</v>
      </c>
      <c r="F146" s="6" t="s">
        <v>1591</v>
      </c>
      <c r="G146" s="6" t="s">
        <v>1425</v>
      </c>
      <c r="H146" s="6" t="s">
        <v>1426</v>
      </c>
      <c r="I146" s="6"/>
      <c r="J146" s="6" t="s">
        <v>1070</v>
      </c>
      <c r="K146" s="6" t="s">
        <v>891</v>
      </c>
      <c r="L146" s="7" t="s">
        <v>1700</v>
      </c>
      <c r="M146" s="8"/>
      <c r="N146" s="8"/>
    </row>
    <row r="147" spans="1:14" ht="25" x14ac:dyDescent="0.35">
      <c r="A147" s="6" t="s">
        <v>1701</v>
      </c>
      <c r="B147" s="6" t="s">
        <v>283</v>
      </c>
      <c r="C147" s="7" t="s">
        <v>1702</v>
      </c>
      <c r="D147" s="7" t="s">
        <v>1703</v>
      </c>
      <c r="E147" s="6" t="s">
        <v>699</v>
      </c>
      <c r="F147" s="6" t="s">
        <v>1704</v>
      </c>
      <c r="G147" s="6" t="s">
        <v>1705</v>
      </c>
      <c r="H147" s="6" t="s">
        <v>1706</v>
      </c>
      <c r="I147" s="6"/>
      <c r="J147" s="6" t="s">
        <v>873</v>
      </c>
      <c r="K147" s="6" t="s">
        <v>891</v>
      </c>
      <c r="L147" s="7" t="s">
        <v>1707</v>
      </c>
      <c r="M147" s="8"/>
      <c r="N147" s="8"/>
    </row>
    <row r="148" spans="1:14" ht="25" x14ac:dyDescent="0.35">
      <c r="A148" s="6" t="s">
        <v>1708</v>
      </c>
      <c r="B148" s="6" t="s">
        <v>283</v>
      </c>
      <c r="C148" s="7" t="s">
        <v>1709</v>
      </c>
      <c r="D148" s="7" t="s">
        <v>1710</v>
      </c>
      <c r="E148" s="6" t="s">
        <v>699</v>
      </c>
      <c r="F148" s="6" t="s">
        <v>1711</v>
      </c>
      <c r="G148" s="6" t="s">
        <v>1712</v>
      </c>
      <c r="H148" s="6" t="s">
        <v>1713</v>
      </c>
      <c r="I148" s="6" t="s">
        <v>212</v>
      </c>
      <c r="J148" s="6" t="s">
        <v>873</v>
      </c>
      <c r="K148" s="6" t="s">
        <v>865</v>
      </c>
      <c r="L148" s="7" t="s">
        <v>1714</v>
      </c>
      <c r="M148" s="8"/>
      <c r="N148" s="8"/>
    </row>
    <row r="149" spans="1:14" ht="25" x14ac:dyDescent="0.35">
      <c r="A149" s="6" t="s">
        <v>1715</v>
      </c>
      <c r="B149" s="6" t="s">
        <v>283</v>
      </c>
      <c r="C149" s="7" t="s">
        <v>1716</v>
      </c>
      <c r="D149" s="7" t="s">
        <v>1717</v>
      </c>
      <c r="E149" s="6" t="s">
        <v>699</v>
      </c>
      <c r="F149" s="6" t="s">
        <v>1718</v>
      </c>
      <c r="G149" s="6" t="s">
        <v>608</v>
      </c>
      <c r="H149" s="6" t="s">
        <v>607</v>
      </c>
      <c r="I149" s="6"/>
      <c r="J149" s="6" t="s">
        <v>1070</v>
      </c>
      <c r="K149" s="6" t="s">
        <v>891</v>
      </c>
      <c r="L149" s="7" t="s">
        <v>1719</v>
      </c>
      <c r="M149" s="8"/>
      <c r="N149" s="8"/>
    </row>
    <row r="150" spans="1:14" ht="25" x14ac:dyDescent="0.35">
      <c r="A150" s="6" t="s">
        <v>1720</v>
      </c>
      <c r="B150" s="6" t="s">
        <v>283</v>
      </c>
      <c r="C150" s="7" t="s">
        <v>1721</v>
      </c>
      <c r="D150" s="7" t="s">
        <v>1722</v>
      </c>
      <c r="E150" s="6" t="s">
        <v>699</v>
      </c>
      <c r="F150" s="6" t="s">
        <v>1723</v>
      </c>
      <c r="G150" s="6" t="s">
        <v>1724</v>
      </c>
      <c r="H150" s="6" t="s">
        <v>1725</v>
      </c>
      <c r="I150" s="6"/>
      <c r="J150" s="6" t="s">
        <v>873</v>
      </c>
      <c r="K150" s="6" t="s">
        <v>891</v>
      </c>
      <c r="L150" s="7" t="s">
        <v>1726</v>
      </c>
      <c r="M150" s="8"/>
      <c r="N150" s="8"/>
    </row>
    <row r="151" spans="1:14" ht="25" x14ac:dyDescent="0.35">
      <c r="A151" s="6" t="s">
        <v>1727</v>
      </c>
      <c r="B151" s="6" t="s">
        <v>283</v>
      </c>
      <c r="C151" s="7" t="s">
        <v>1728</v>
      </c>
      <c r="D151" s="7" t="s">
        <v>1729</v>
      </c>
      <c r="E151" s="6" t="s">
        <v>699</v>
      </c>
      <c r="F151" s="6" t="s">
        <v>1730</v>
      </c>
      <c r="G151" s="6" t="s">
        <v>1731</v>
      </c>
      <c r="H151" s="6" t="s">
        <v>1732</v>
      </c>
      <c r="I151" s="6"/>
      <c r="J151" s="6" t="s">
        <v>1070</v>
      </c>
      <c r="K151" s="6" t="s">
        <v>891</v>
      </c>
      <c r="L151" s="7" t="s">
        <v>1733</v>
      </c>
      <c r="M151" s="8"/>
      <c r="N151" s="8"/>
    </row>
  </sheetData>
  <autoFilter ref="A1:N151" xr:uid="{00000000-0009-0000-0000-000004000000}"/>
  <dataValidations count="1">
    <dataValidation type="list" allowBlank="1" sqref="M2:M151" xr:uid="{00000000-0002-0000-0400-000000000000}">
      <formula1>"OK,A CORRIGER,A SUPPRIMER,EN ATTENTE"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0" customWidth="1"/>
    <col min="2" max="2" width="18" customWidth="1"/>
    <col min="3" max="3" width="62" customWidth="1"/>
    <col min="4" max="4" width="24" customWidth="1"/>
    <col min="5" max="5" width="68" customWidth="1"/>
    <col min="6" max="6" width="34" customWidth="1"/>
    <col min="7" max="7" width="16" customWidth="1"/>
    <col min="8" max="8" width="50" customWidth="1"/>
    <col min="9" max="9" width="20" customWidth="1"/>
    <col min="10" max="10" width="46" customWidth="1"/>
  </cols>
  <sheetData>
    <row r="1" spans="1:10" ht="30" customHeight="1" x14ac:dyDescent="0.35">
      <c r="A1" s="5" t="s">
        <v>21</v>
      </c>
      <c r="B1" s="5" t="s">
        <v>1734</v>
      </c>
      <c r="C1" s="5" t="s">
        <v>846</v>
      </c>
      <c r="D1" s="5" t="s">
        <v>853</v>
      </c>
      <c r="E1" s="5" t="s">
        <v>1735</v>
      </c>
      <c r="F1" s="5" t="s">
        <v>849</v>
      </c>
      <c r="G1" s="5" t="s">
        <v>236</v>
      </c>
      <c r="H1" s="5" t="s">
        <v>1736</v>
      </c>
      <c r="I1" s="5" t="s">
        <v>38</v>
      </c>
      <c r="J1" s="5" t="s">
        <v>856</v>
      </c>
    </row>
    <row r="2" spans="1:10" ht="25" x14ac:dyDescent="0.35">
      <c r="A2" s="6" t="s">
        <v>1737</v>
      </c>
      <c r="B2" s="6" t="s">
        <v>1738</v>
      </c>
      <c r="C2" s="7" t="s">
        <v>1739</v>
      </c>
      <c r="D2" s="6" t="s">
        <v>1594</v>
      </c>
      <c r="E2" s="7" t="s">
        <v>1740</v>
      </c>
      <c r="F2" s="6" t="s">
        <v>1681</v>
      </c>
      <c r="G2" s="6" t="s">
        <v>699</v>
      </c>
      <c r="H2" s="7" t="s">
        <v>1741</v>
      </c>
      <c r="I2" s="8"/>
      <c r="J2" s="8"/>
    </row>
    <row r="3" spans="1:10" ht="25" x14ac:dyDescent="0.35">
      <c r="A3" s="6" t="s">
        <v>1742</v>
      </c>
      <c r="B3" s="6" t="s">
        <v>1738</v>
      </c>
      <c r="C3" s="7" t="s">
        <v>1743</v>
      </c>
      <c r="D3" s="6" t="s">
        <v>1594</v>
      </c>
      <c r="E3" s="7" t="s">
        <v>1744</v>
      </c>
      <c r="F3" s="6"/>
      <c r="G3" s="6" t="s">
        <v>699</v>
      </c>
      <c r="H3" s="7" t="s">
        <v>1745</v>
      </c>
      <c r="I3" s="8"/>
      <c r="J3" s="8"/>
    </row>
    <row r="4" spans="1:10" ht="25" x14ac:dyDescent="0.35">
      <c r="A4" s="6" t="s">
        <v>1746</v>
      </c>
      <c r="B4" s="6" t="s">
        <v>1738</v>
      </c>
      <c r="C4" s="7" t="s">
        <v>1747</v>
      </c>
      <c r="D4" s="6" t="s">
        <v>1594</v>
      </c>
      <c r="E4" s="7" t="s">
        <v>1748</v>
      </c>
      <c r="F4" s="6"/>
      <c r="G4" s="6" t="s">
        <v>699</v>
      </c>
      <c r="H4" s="7" t="s">
        <v>1749</v>
      </c>
      <c r="I4" s="8"/>
      <c r="J4" s="8"/>
    </row>
    <row r="5" spans="1:10" ht="25" x14ac:dyDescent="0.35">
      <c r="A5" s="6" t="s">
        <v>1750</v>
      </c>
      <c r="B5" s="6" t="s">
        <v>1738</v>
      </c>
      <c r="C5" s="7" t="s">
        <v>1751</v>
      </c>
      <c r="D5" s="6" t="s">
        <v>1594</v>
      </c>
      <c r="E5" s="7" t="s">
        <v>1752</v>
      </c>
      <c r="F5" s="6" t="s">
        <v>1753</v>
      </c>
      <c r="G5" s="6" t="s">
        <v>699</v>
      </c>
      <c r="H5" s="7" t="s">
        <v>1754</v>
      </c>
      <c r="I5" s="8"/>
      <c r="J5" s="8"/>
    </row>
    <row r="6" spans="1:10" ht="25" x14ac:dyDescent="0.35">
      <c r="A6" s="6" t="s">
        <v>1755</v>
      </c>
      <c r="B6" s="6" t="s">
        <v>1738</v>
      </c>
      <c r="C6" s="7" t="s">
        <v>1756</v>
      </c>
      <c r="D6" s="6" t="s">
        <v>1594</v>
      </c>
      <c r="E6" s="7" t="s">
        <v>1757</v>
      </c>
      <c r="F6" s="6" t="s">
        <v>549</v>
      </c>
      <c r="G6" s="6" t="s">
        <v>699</v>
      </c>
      <c r="H6" s="7"/>
      <c r="I6" s="8"/>
      <c r="J6" s="8"/>
    </row>
    <row r="7" spans="1:10" ht="25" x14ac:dyDescent="0.35">
      <c r="A7" s="6" t="s">
        <v>1758</v>
      </c>
      <c r="B7" s="6" t="s">
        <v>1738</v>
      </c>
      <c r="C7" s="7" t="s">
        <v>1759</v>
      </c>
      <c r="D7" s="6" t="s">
        <v>1594</v>
      </c>
      <c r="E7" s="7" t="s">
        <v>1760</v>
      </c>
      <c r="F7" s="6" t="s">
        <v>449</v>
      </c>
      <c r="G7" s="6" t="s">
        <v>699</v>
      </c>
      <c r="H7" s="7"/>
      <c r="I7" s="8"/>
      <c r="J7" s="8"/>
    </row>
    <row r="8" spans="1:10" ht="25" x14ac:dyDescent="0.35">
      <c r="A8" s="6" t="s">
        <v>1761</v>
      </c>
      <c r="B8" s="6" t="s">
        <v>1738</v>
      </c>
      <c r="C8" s="7" t="s">
        <v>1762</v>
      </c>
      <c r="D8" s="6" t="s">
        <v>1594</v>
      </c>
      <c r="E8" s="7" t="s">
        <v>1763</v>
      </c>
      <c r="F8" s="6" t="s">
        <v>1764</v>
      </c>
      <c r="G8" s="6" t="s">
        <v>703</v>
      </c>
      <c r="H8" s="7" t="s">
        <v>1765</v>
      </c>
      <c r="I8" s="8"/>
      <c r="J8" s="8"/>
    </row>
    <row r="9" spans="1:10" ht="25" x14ac:dyDescent="0.35">
      <c r="A9" s="6" t="s">
        <v>1766</v>
      </c>
      <c r="B9" s="6" t="s">
        <v>1738</v>
      </c>
      <c r="C9" s="7" t="s">
        <v>1767</v>
      </c>
      <c r="D9" s="6" t="s">
        <v>1594</v>
      </c>
      <c r="E9" s="7" t="s">
        <v>1768</v>
      </c>
      <c r="F9" s="6" t="s">
        <v>1769</v>
      </c>
      <c r="G9" s="6" t="s">
        <v>734</v>
      </c>
      <c r="H9" s="7"/>
      <c r="I9" s="8"/>
      <c r="J9" s="8"/>
    </row>
    <row r="10" spans="1:10" x14ac:dyDescent="0.35">
      <c r="A10" s="6" t="s">
        <v>1770</v>
      </c>
      <c r="B10" s="6" t="s">
        <v>1738</v>
      </c>
      <c r="C10" s="7" t="s">
        <v>1771</v>
      </c>
      <c r="D10" s="6" t="s">
        <v>1594</v>
      </c>
      <c r="E10" s="7" t="s">
        <v>1772</v>
      </c>
      <c r="F10" s="6" t="s">
        <v>79</v>
      </c>
      <c r="G10" s="6" t="s">
        <v>699</v>
      </c>
      <c r="H10" s="7"/>
      <c r="I10" s="8"/>
      <c r="J10" s="8"/>
    </row>
    <row r="11" spans="1:10" ht="25" x14ac:dyDescent="0.35">
      <c r="A11" s="6" t="s">
        <v>1773</v>
      </c>
      <c r="B11" s="6" t="s">
        <v>1738</v>
      </c>
      <c r="C11" s="7" t="s">
        <v>1774</v>
      </c>
      <c r="D11" s="6" t="s">
        <v>1594</v>
      </c>
      <c r="E11" s="7" t="s">
        <v>1775</v>
      </c>
      <c r="F11" s="6" t="s">
        <v>176</v>
      </c>
      <c r="G11" s="6" t="s">
        <v>699</v>
      </c>
      <c r="H11" s="7"/>
      <c r="I11" s="8"/>
      <c r="J11" s="8"/>
    </row>
    <row r="12" spans="1:10" ht="25" x14ac:dyDescent="0.35">
      <c r="A12" s="6" t="s">
        <v>1776</v>
      </c>
      <c r="B12" s="6" t="s">
        <v>1738</v>
      </c>
      <c r="C12" s="7" t="s">
        <v>1777</v>
      </c>
      <c r="D12" s="6" t="s">
        <v>1594</v>
      </c>
      <c r="E12" s="7" t="s">
        <v>1778</v>
      </c>
      <c r="F12" s="6" t="s">
        <v>728</v>
      </c>
      <c r="G12" s="6" t="s">
        <v>703</v>
      </c>
      <c r="H12" s="7"/>
      <c r="I12" s="8"/>
      <c r="J12" s="8"/>
    </row>
    <row r="13" spans="1:10" ht="25" x14ac:dyDescent="0.35">
      <c r="A13" s="6" t="s">
        <v>1779</v>
      </c>
      <c r="B13" s="6" t="s">
        <v>1738</v>
      </c>
      <c r="C13" s="7" t="s">
        <v>1780</v>
      </c>
      <c r="D13" s="6" t="s">
        <v>1594</v>
      </c>
      <c r="E13" s="7" t="s">
        <v>1781</v>
      </c>
      <c r="F13" s="6" t="s">
        <v>112</v>
      </c>
      <c r="G13" s="6" t="s">
        <v>703</v>
      </c>
      <c r="H13" s="7"/>
      <c r="I13" s="8"/>
      <c r="J13" s="8"/>
    </row>
    <row r="14" spans="1:10" ht="25" x14ac:dyDescent="0.35">
      <c r="A14" s="6" t="s">
        <v>1782</v>
      </c>
      <c r="B14" s="6" t="s">
        <v>1783</v>
      </c>
      <c r="C14" s="7" t="s">
        <v>1784</v>
      </c>
      <c r="D14" s="6" t="s">
        <v>873</v>
      </c>
      <c r="E14" s="7" t="s">
        <v>1785</v>
      </c>
      <c r="F14" s="6" t="s">
        <v>196</v>
      </c>
      <c r="G14" s="6" t="s">
        <v>739</v>
      </c>
      <c r="H14" s="7" t="s">
        <v>1786</v>
      </c>
      <c r="I14" s="8"/>
      <c r="J14" s="8"/>
    </row>
    <row r="15" spans="1:10" x14ac:dyDescent="0.35">
      <c r="A15" s="6" t="s">
        <v>1787</v>
      </c>
      <c r="B15" s="6" t="s">
        <v>1783</v>
      </c>
      <c r="C15" s="7" t="s">
        <v>1788</v>
      </c>
      <c r="D15" s="6" t="s">
        <v>873</v>
      </c>
      <c r="E15" s="7" t="s">
        <v>1789</v>
      </c>
      <c r="F15" s="6" t="s">
        <v>220</v>
      </c>
      <c r="G15" s="6" t="s">
        <v>739</v>
      </c>
      <c r="H15" s="7"/>
      <c r="I15" s="8"/>
      <c r="J15" s="8"/>
    </row>
    <row r="16" spans="1:10" ht="25" x14ac:dyDescent="0.35">
      <c r="A16" s="6" t="s">
        <v>1790</v>
      </c>
      <c r="B16" s="6" t="s">
        <v>1783</v>
      </c>
      <c r="C16" s="7" t="s">
        <v>1791</v>
      </c>
      <c r="D16" s="6" t="s">
        <v>873</v>
      </c>
      <c r="E16" s="7" t="s">
        <v>1792</v>
      </c>
      <c r="F16" s="6" t="s">
        <v>1793</v>
      </c>
      <c r="G16" s="6" t="s">
        <v>879</v>
      </c>
      <c r="H16" s="7" t="s">
        <v>1794</v>
      </c>
      <c r="I16" s="8"/>
      <c r="J16" s="8"/>
    </row>
    <row r="17" spans="1:10" x14ac:dyDescent="0.35">
      <c r="A17" s="6" t="s">
        <v>1795</v>
      </c>
      <c r="B17" s="6" t="s">
        <v>1783</v>
      </c>
      <c r="C17" s="7" t="s">
        <v>1796</v>
      </c>
      <c r="D17" s="6" t="s">
        <v>873</v>
      </c>
      <c r="E17" s="7" t="s">
        <v>1797</v>
      </c>
      <c r="F17" s="6" t="s">
        <v>1798</v>
      </c>
      <c r="G17" s="6" t="s">
        <v>703</v>
      </c>
      <c r="H17" s="7" t="s">
        <v>1799</v>
      </c>
      <c r="I17" s="8"/>
      <c r="J17" s="8"/>
    </row>
    <row r="18" spans="1:10" ht="25" x14ac:dyDescent="0.35">
      <c r="A18" s="6" t="s">
        <v>1800</v>
      </c>
      <c r="B18" s="6" t="s">
        <v>1783</v>
      </c>
      <c r="C18" s="7" t="s">
        <v>1801</v>
      </c>
      <c r="D18" s="6" t="s">
        <v>1271</v>
      </c>
      <c r="E18" s="7" t="s">
        <v>1802</v>
      </c>
      <c r="F18" s="6" t="s">
        <v>1803</v>
      </c>
      <c r="G18" s="6" t="s">
        <v>879</v>
      </c>
      <c r="H18" s="7"/>
      <c r="I18" s="8"/>
      <c r="J18" s="8"/>
    </row>
    <row r="19" spans="1:10" ht="25" x14ac:dyDescent="0.35">
      <c r="A19" s="6" t="s">
        <v>1804</v>
      </c>
      <c r="B19" s="6" t="s">
        <v>1783</v>
      </c>
      <c r="C19" s="7" t="s">
        <v>1805</v>
      </c>
      <c r="D19" s="6" t="s">
        <v>1271</v>
      </c>
      <c r="E19" s="7" t="s">
        <v>1806</v>
      </c>
      <c r="F19" s="6" t="s">
        <v>543</v>
      </c>
      <c r="G19" s="6" t="s">
        <v>703</v>
      </c>
      <c r="H19" s="7" t="s">
        <v>1807</v>
      </c>
      <c r="I19" s="8"/>
      <c r="J19" s="8"/>
    </row>
    <row r="20" spans="1:10" x14ac:dyDescent="0.35">
      <c r="A20" s="6" t="s">
        <v>1808</v>
      </c>
      <c r="B20" s="6" t="s">
        <v>1783</v>
      </c>
      <c r="C20" s="7" t="s">
        <v>1809</v>
      </c>
      <c r="D20" s="6" t="s">
        <v>1271</v>
      </c>
      <c r="E20" s="7" t="s">
        <v>1810</v>
      </c>
      <c r="F20" s="6" t="s">
        <v>1268</v>
      </c>
      <c r="G20" s="6" t="s">
        <v>703</v>
      </c>
      <c r="H20" s="7"/>
      <c r="I20" s="8"/>
      <c r="J20" s="8"/>
    </row>
    <row r="21" spans="1:10" x14ac:dyDescent="0.35">
      <c r="A21" s="6" t="s">
        <v>1811</v>
      </c>
      <c r="B21" s="6" t="s">
        <v>1783</v>
      </c>
      <c r="C21" s="7" t="s">
        <v>1812</v>
      </c>
      <c r="D21" s="6" t="s">
        <v>873</v>
      </c>
      <c r="E21" s="7" t="s">
        <v>1813</v>
      </c>
      <c r="F21" s="6" t="s">
        <v>1814</v>
      </c>
      <c r="G21" s="6" t="s">
        <v>739</v>
      </c>
      <c r="H21" s="7"/>
      <c r="I21" s="8"/>
      <c r="J21" s="8"/>
    </row>
    <row r="22" spans="1:10" ht="25" x14ac:dyDescent="0.35">
      <c r="A22" s="6" t="s">
        <v>1815</v>
      </c>
      <c r="B22" s="6" t="s">
        <v>1783</v>
      </c>
      <c r="C22" s="7" t="s">
        <v>1816</v>
      </c>
      <c r="D22" s="6" t="s">
        <v>884</v>
      </c>
      <c r="E22" s="7" t="s">
        <v>1817</v>
      </c>
      <c r="F22" s="6" t="s">
        <v>1818</v>
      </c>
      <c r="G22" s="6" t="s">
        <v>1182</v>
      </c>
      <c r="H22" s="7" t="s">
        <v>1819</v>
      </c>
      <c r="I22" s="8"/>
      <c r="J22" s="8"/>
    </row>
    <row r="23" spans="1:10" ht="25" x14ac:dyDescent="0.35">
      <c r="A23" s="6" t="s">
        <v>1820</v>
      </c>
      <c r="B23" s="6" t="s">
        <v>1783</v>
      </c>
      <c r="C23" s="7" t="s">
        <v>1821</v>
      </c>
      <c r="D23" s="6" t="s">
        <v>864</v>
      </c>
      <c r="E23" s="7" t="s">
        <v>1822</v>
      </c>
      <c r="F23" s="6" t="s">
        <v>243</v>
      </c>
      <c r="G23" s="6" t="s">
        <v>734</v>
      </c>
      <c r="H23" s="7"/>
      <c r="I23" s="8"/>
      <c r="J23" s="8"/>
    </row>
    <row r="24" spans="1:10" ht="25" x14ac:dyDescent="0.35">
      <c r="A24" s="6" t="s">
        <v>1823</v>
      </c>
      <c r="B24" s="6" t="s">
        <v>1824</v>
      </c>
      <c r="C24" s="7" t="s">
        <v>1825</v>
      </c>
      <c r="D24" s="6" t="s">
        <v>873</v>
      </c>
      <c r="E24" s="7" t="s">
        <v>1826</v>
      </c>
      <c r="F24" s="6" t="s">
        <v>671</v>
      </c>
      <c r="G24" s="6" t="s">
        <v>734</v>
      </c>
      <c r="H24" s="7"/>
      <c r="I24" s="8"/>
      <c r="J24" s="8"/>
    </row>
    <row r="25" spans="1:10" ht="25" x14ac:dyDescent="0.35">
      <c r="A25" s="6" t="s">
        <v>1827</v>
      </c>
      <c r="B25" s="6" t="s">
        <v>1824</v>
      </c>
      <c r="C25" s="7" t="s">
        <v>1828</v>
      </c>
      <c r="D25" s="6" t="s">
        <v>873</v>
      </c>
      <c r="E25" s="7" t="s">
        <v>1829</v>
      </c>
      <c r="F25" s="6" t="s">
        <v>1830</v>
      </c>
      <c r="G25" s="6" t="s">
        <v>699</v>
      </c>
      <c r="H25" s="7"/>
      <c r="I25" s="8"/>
      <c r="J25" s="8"/>
    </row>
    <row r="26" spans="1:10" x14ac:dyDescent="0.35">
      <c r="A26" s="6" t="s">
        <v>1831</v>
      </c>
      <c r="B26" s="6" t="s">
        <v>1824</v>
      </c>
      <c r="C26" s="7" t="s">
        <v>1832</v>
      </c>
      <c r="D26" s="6" t="s">
        <v>873</v>
      </c>
      <c r="E26" s="7" t="s">
        <v>1833</v>
      </c>
      <c r="F26" s="6" t="s">
        <v>346</v>
      </c>
      <c r="G26" s="6" t="s">
        <v>703</v>
      </c>
      <c r="H26" s="7"/>
      <c r="I26" s="8"/>
      <c r="J26" s="8"/>
    </row>
    <row r="27" spans="1:10" ht="25" x14ac:dyDescent="0.35">
      <c r="A27" s="6" t="s">
        <v>1834</v>
      </c>
      <c r="B27" s="6" t="s">
        <v>1824</v>
      </c>
      <c r="C27" s="7" t="s">
        <v>1835</v>
      </c>
      <c r="D27" s="6" t="s">
        <v>864</v>
      </c>
      <c r="E27" s="7" t="s">
        <v>1836</v>
      </c>
      <c r="F27" s="6" t="s">
        <v>1837</v>
      </c>
      <c r="G27" s="6" t="s">
        <v>699</v>
      </c>
      <c r="H27" s="7" t="s">
        <v>1838</v>
      </c>
      <c r="I27" s="8"/>
      <c r="J27" s="8"/>
    </row>
    <row r="28" spans="1:10" ht="25" x14ac:dyDescent="0.35">
      <c r="A28" s="6" t="s">
        <v>1839</v>
      </c>
      <c r="B28" s="6" t="s">
        <v>1824</v>
      </c>
      <c r="C28" s="7" t="s">
        <v>1840</v>
      </c>
      <c r="D28" s="6" t="s">
        <v>873</v>
      </c>
      <c r="E28" s="7" t="s">
        <v>1841</v>
      </c>
      <c r="F28" s="6" t="s">
        <v>1842</v>
      </c>
      <c r="G28" s="6" t="s">
        <v>734</v>
      </c>
      <c r="H28" s="7"/>
      <c r="I28" s="8"/>
      <c r="J28" s="8"/>
    </row>
    <row r="29" spans="1:10" ht="25" x14ac:dyDescent="0.35">
      <c r="A29" s="6" t="s">
        <v>1843</v>
      </c>
      <c r="B29" s="6" t="s">
        <v>1824</v>
      </c>
      <c r="C29" s="7" t="s">
        <v>1844</v>
      </c>
      <c r="D29" s="6" t="s">
        <v>864</v>
      </c>
      <c r="E29" s="7" t="s">
        <v>1845</v>
      </c>
      <c r="F29" s="6" t="s">
        <v>1846</v>
      </c>
      <c r="G29" s="6" t="s">
        <v>739</v>
      </c>
      <c r="H29" s="7"/>
      <c r="I29" s="8"/>
      <c r="J29" s="8"/>
    </row>
    <row r="30" spans="1:10" ht="25" x14ac:dyDescent="0.35">
      <c r="A30" s="6" t="s">
        <v>1847</v>
      </c>
      <c r="B30" s="6" t="s">
        <v>1824</v>
      </c>
      <c r="C30" s="7" t="s">
        <v>1848</v>
      </c>
      <c r="D30" s="6" t="s">
        <v>864</v>
      </c>
      <c r="E30" s="7" t="s">
        <v>1849</v>
      </c>
      <c r="F30" s="6" t="s">
        <v>243</v>
      </c>
      <c r="G30" s="6" t="s">
        <v>734</v>
      </c>
      <c r="H30" s="7"/>
      <c r="I30" s="8"/>
      <c r="J30" s="8"/>
    </row>
    <row r="31" spans="1:10" x14ac:dyDescent="0.35">
      <c r="A31" s="6" t="s">
        <v>1850</v>
      </c>
      <c r="B31" s="6" t="s">
        <v>1824</v>
      </c>
      <c r="C31" s="7" t="s">
        <v>1851</v>
      </c>
      <c r="D31" s="6" t="s">
        <v>873</v>
      </c>
      <c r="E31" s="7" t="s">
        <v>1852</v>
      </c>
      <c r="F31" s="6" t="s">
        <v>1853</v>
      </c>
      <c r="G31" s="6" t="s">
        <v>703</v>
      </c>
      <c r="H31" s="7"/>
      <c r="I31" s="8"/>
      <c r="J31" s="8"/>
    </row>
    <row r="32" spans="1:10" ht="25" x14ac:dyDescent="0.35">
      <c r="A32" s="6" t="s">
        <v>1854</v>
      </c>
      <c r="B32" s="6" t="s">
        <v>1855</v>
      </c>
      <c r="C32" s="7" t="s">
        <v>1856</v>
      </c>
      <c r="D32" s="6" t="s">
        <v>1271</v>
      </c>
      <c r="E32" s="7" t="s">
        <v>1857</v>
      </c>
      <c r="F32" s="6" t="s">
        <v>462</v>
      </c>
      <c r="G32" s="6" t="s">
        <v>703</v>
      </c>
      <c r="H32" s="7" t="s">
        <v>1858</v>
      </c>
      <c r="I32" s="8"/>
      <c r="J32" s="8"/>
    </row>
    <row r="33" spans="1:10" ht="25" x14ac:dyDescent="0.35">
      <c r="A33" s="6" t="s">
        <v>1859</v>
      </c>
      <c r="B33" s="6" t="s">
        <v>1855</v>
      </c>
      <c r="C33" s="7" t="s">
        <v>1860</v>
      </c>
      <c r="D33" s="6" t="s">
        <v>873</v>
      </c>
      <c r="E33" s="7" t="s">
        <v>1861</v>
      </c>
      <c r="F33" s="6" t="s">
        <v>1862</v>
      </c>
      <c r="G33" s="6" t="s">
        <v>734</v>
      </c>
      <c r="H33" s="7" t="s">
        <v>1863</v>
      </c>
      <c r="I33" s="8"/>
      <c r="J33" s="8"/>
    </row>
    <row r="34" spans="1:10" ht="25" x14ac:dyDescent="0.35">
      <c r="A34" s="6" t="s">
        <v>1864</v>
      </c>
      <c r="B34" s="6" t="s">
        <v>1855</v>
      </c>
      <c r="C34" s="7" t="s">
        <v>1865</v>
      </c>
      <c r="D34" s="6" t="s">
        <v>1271</v>
      </c>
      <c r="E34" s="7" t="s">
        <v>1866</v>
      </c>
      <c r="F34" s="6"/>
      <c r="G34" s="6" t="s">
        <v>739</v>
      </c>
      <c r="H34" s="7"/>
      <c r="I34" s="8"/>
      <c r="J34" s="8"/>
    </row>
    <row r="35" spans="1:10" x14ac:dyDescent="0.35">
      <c r="A35" s="6" t="s">
        <v>1867</v>
      </c>
      <c r="B35" s="6" t="s">
        <v>1855</v>
      </c>
      <c r="C35" s="7" t="s">
        <v>1868</v>
      </c>
      <c r="D35" s="6" t="s">
        <v>884</v>
      </c>
      <c r="E35" s="7" t="s">
        <v>1869</v>
      </c>
      <c r="F35" s="6" t="s">
        <v>1870</v>
      </c>
      <c r="G35" s="6" t="s">
        <v>1871</v>
      </c>
      <c r="H35" s="7"/>
      <c r="I35" s="8"/>
      <c r="J35" s="8"/>
    </row>
    <row r="36" spans="1:10" ht="25" x14ac:dyDescent="0.35">
      <c r="A36" s="6" t="s">
        <v>1872</v>
      </c>
      <c r="B36" s="6" t="s">
        <v>1855</v>
      </c>
      <c r="C36" s="7" t="s">
        <v>1873</v>
      </c>
      <c r="D36" s="6" t="s">
        <v>1070</v>
      </c>
      <c r="E36" s="7" t="s">
        <v>1874</v>
      </c>
      <c r="F36" s="6" t="s">
        <v>659</v>
      </c>
      <c r="G36" s="6" t="s">
        <v>734</v>
      </c>
      <c r="H36" s="7"/>
      <c r="I36" s="8"/>
      <c r="J36" s="8"/>
    </row>
    <row r="37" spans="1:10" x14ac:dyDescent="0.35">
      <c r="A37" s="6" t="s">
        <v>1875</v>
      </c>
      <c r="B37" s="6" t="s">
        <v>1855</v>
      </c>
      <c r="C37" s="7" t="s">
        <v>1876</v>
      </c>
      <c r="D37" s="6" t="s">
        <v>1271</v>
      </c>
      <c r="E37" s="7" t="s">
        <v>1877</v>
      </c>
      <c r="F37" s="6" t="s">
        <v>177</v>
      </c>
      <c r="G37" s="6" t="s">
        <v>739</v>
      </c>
      <c r="H37" s="7"/>
      <c r="I37" s="8"/>
      <c r="J37" s="8"/>
    </row>
    <row r="38" spans="1:10" ht="25" x14ac:dyDescent="0.35">
      <c r="A38" s="6" t="s">
        <v>1878</v>
      </c>
      <c r="B38" s="6" t="s">
        <v>1855</v>
      </c>
      <c r="C38" s="7" t="s">
        <v>1879</v>
      </c>
      <c r="D38" s="6" t="s">
        <v>1070</v>
      </c>
      <c r="E38" s="7" t="s">
        <v>1880</v>
      </c>
      <c r="F38" s="6"/>
      <c r="G38" s="6" t="s">
        <v>739</v>
      </c>
      <c r="H38" s="7"/>
      <c r="I38" s="8"/>
      <c r="J38" s="8"/>
    </row>
    <row r="39" spans="1:10" ht="25" x14ac:dyDescent="0.35">
      <c r="A39" s="6" t="s">
        <v>1881</v>
      </c>
      <c r="B39" s="6" t="s">
        <v>1855</v>
      </c>
      <c r="C39" s="7" t="s">
        <v>1882</v>
      </c>
      <c r="D39" s="6" t="s">
        <v>1271</v>
      </c>
      <c r="E39" s="7" t="s">
        <v>1883</v>
      </c>
      <c r="F39" s="6"/>
      <c r="G39" s="6" t="s">
        <v>699</v>
      </c>
      <c r="H39" s="7" t="s">
        <v>1884</v>
      </c>
      <c r="I39" s="8"/>
      <c r="J39" s="8"/>
    </row>
    <row r="40" spans="1:10" ht="25" x14ac:dyDescent="0.35">
      <c r="A40" s="6" t="s">
        <v>1885</v>
      </c>
      <c r="B40" s="6" t="s">
        <v>1886</v>
      </c>
      <c r="C40" s="7" t="s">
        <v>1887</v>
      </c>
      <c r="D40" s="6" t="s">
        <v>864</v>
      </c>
      <c r="E40" s="7" t="s">
        <v>1888</v>
      </c>
      <c r="F40" s="6"/>
      <c r="G40" s="6" t="s">
        <v>739</v>
      </c>
      <c r="H40" s="7" t="s">
        <v>1889</v>
      </c>
      <c r="I40" s="8"/>
      <c r="J40" s="8"/>
    </row>
    <row r="41" spans="1:10" x14ac:dyDescent="0.35">
      <c r="A41" s="6" t="s">
        <v>1890</v>
      </c>
      <c r="B41" s="6" t="s">
        <v>1886</v>
      </c>
      <c r="C41" s="7" t="s">
        <v>1891</v>
      </c>
      <c r="D41" s="6" t="s">
        <v>864</v>
      </c>
      <c r="E41" s="7" t="s">
        <v>1892</v>
      </c>
      <c r="F41" s="6"/>
      <c r="G41" s="6" t="s">
        <v>739</v>
      </c>
      <c r="H41" s="7"/>
      <c r="I41" s="8"/>
      <c r="J41" s="8"/>
    </row>
    <row r="42" spans="1:10" x14ac:dyDescent="0.35">
      <c r="A42" s="6" t="s">
        <v>1893</v>
      </c>
      <c r="B42" s="6" t="s">
        <v>1886</v>
      </c>
      <c r="C42" s="7" t="s">
        <v>1894</v>
      </c>
      <c r="D42" s="6" t="s">
        <v>864</v>
      </c>
      <c r="E42" s="7" t="s">
        <v>1895</v>
      </c>
      <c r="F42" s="6"/>
      <c r="G42" s="6" t="s">
        <v>739</v>
      </c>
      <c r="H42" s="7"/>
      <c r="I42" s="8"/>
      <c r="J42" s="8"/>
    </row>
    <row r="43" spans="1:10" x14ac:dyDescent="0.35">
      <c r="A43" s="6" t="s">
        <v>1896</v>
      </c>
      <c r="B43" s="6" t="s">
        <v>1886</v>
      </c>
      <c r="C43" s="7" t="s">
        <v>1897</v>
      </c>
      <c r="D43" s="6" t="s">
        <v>864</v>
      </c>
      <c r="E43" s="7" t="s">
        <v>1898</v>
      </c>
      <c r="F43" s="6"/>
      <c r="G43" s="6" t="s">
        <v>739</v>
      </c>
      <c r="H43" s="7"/>
      <c r="I43" s="8"/>
      <c r="J43" s="8"/>
    </row>
    <row r="44" spans="1:10" x14ac:dyDescent="0.35">
      <c r="A44" s="6" t="s">
        <v>1899</v>
      </c>
      <c r="B44" s="6" t="s">
        <v>1886</v>
      </c>
      <c r="C44" s="7" t="s">
        <v>1900</v>
      </c>
      <c r="D44" s="6" t="s">
        <v>864</v>
      </c>
      <c r="E44" s="7" t="s">
        <v>1901</v>
      </c>
      <c r="F44" s="6"/>
      <c r="G44" s="6" t="s">
        <v>739</v>
      </c>
      <c r="H44" s="7"/>
      <c r="I44" s="8"/>
      <c r="J44" s="8"/>
    </row>
    <row r="45" spans="1:10" x14ac:dyDescent="0.35">
      <c r="A45" s="6" t="s">
        <v>1902</v>
      </c>
      <c r="B45" s="6" t="s">
        <v>1886</v>
      </c>
      <c r="C45" s="7" t="s">
        <v>969</v>
      </c>
      <c r="D45" s="6" t="s">
        <v>864</v>
      </c>
      <c r="E45" s="7" t="s">
        <v>1903</v>
      </c>
      <c r="F45" s="6"/>
      <c r="G45" s="6" t="s">
        <v>739</v>
      </c>
      <c r="H45" s="7"/>
      <c r="I45" s="8"/>
      <c r="J45" s="8"/>
    </row>
    <row r="46" spans="1:10" x14ac:dyDescent="0.35">
      <c r="A46" s="6" t="s">
        <v>1904</v>
      </c>
      <c r="B46" s="6" t="s">
        <v>1886</v>
      </c>
      <c r="C46" s="7" t="s">
        <v>1905</v>
      </c>
      <c r="D46" s="6" t="s">
        <v>1070</v>
      </c>
      <c r="E46" s="7" t="s">
        <v>1906</v>
      </c>
      <c r="F46" s="6"/>
      <c r="G46" s="6" t="s">
        <v>739</v>
      </c>
      <c r="H46" s="7" t="s">
        <v>1907</v>
      </c>
      <c r="I46" s="8"/>
      <c r="J46" s="8"/>
    </row>
    <row r="47" spans="1:10" x14ac:dyDescent="0.35">
      <c r="A47" s="6" t="s">
        <v>1908</v>
      </c>
      <c r="B47" s="6" t="s">
        <v>1886</v>
      </c>
      <c r="C47" s="7" t="s">
        <v>1909</v>
      </c>
      <c r="D47" s="6" t="s">
        <v>1070</v>
      </c>
      <c r="E47" s="7" t="s">
        <v>1910</v>
      </c>
      <c r="F47" s="6" t="s">
        <v>1911</v>
      </c>
      <c r="G47" s="6" t="s">
        <v>734</v>
      </c>
      <c r="H47" s="7"/>
      <c r="I47" s="8"/>
      <c r="J47" s="8"/>
    </row>
    <row r="48" spans="1:10" x14ac:dyDescent="0.35">
      <c r="A48" s="6" t="s">
        <v>1912</v>
      </c>
      <c r="B48" s="6" t="s">
        <v>1886</v>
      </c>
      <c r="C48" s="7" t="s">
        <v>1913</v>
      </c>
      <c r="D48" s="6" t="s">
        <v>864</v>
      </c>
      <c r="E48" s="7" t="s">
        <v>1914</v>
      </c>
      <c r="F48" s="6"/>
      <c r="G48" s="6" t="s">
        <v>739</v>
      </c>
      <c r="H48" s="7"/>
      <c r="I48" s="8"/>
      <c r="J48" s="8"/>
    </row>
    <row r="49" spans="1:10" x14ac:dyDescent="0.35">
      <c r="A49" s="6" t="s">
        <v>1915</v>
      </c>
      <c r="B49" s="6" t="s">
        <v>1886</v>
      </c>
      <c r="C49" s="7" t="s">
        <v>1916</v>
      </c>
      <c r="D49" s="6" t="s">
        <v>864</v>
      </c>
      <c r="E49" s="7" t="s">
        <v>1917</v>
      </c>
      <c r="F49" s="6"/>
      <c r="G49" s="6" t="s">
        <v>739</v>
      </c>
      <c r="H49" s="7"/>
      <c r="I49" s="8"/>
      <c r="J49" s="8"/>
    </row>
    <row r="50" spans="1:10" ht="25" x14ac:dyDescent="0.35">
      <c r="A50" s="6" t="s">
        <v>1918</v>
      </c>
      <c r="B50" s="6" t="s">
        <v>1919</v>
      </c>
      <c r="C50" s="7" t="s">
        <v>1920</v>
      </c>
      <c r="D50" s="6" t="s">
        <v>884</v>
      </c>
      <c r="E50" s="7" t="s">
        <v>1921</v>
      </c>
      <c r="F50" s="6" t="s">
        <v>1922</v>
      </c>
      <c r="G50" s="6" t="s">
        <v>879</v>
      </c>
      <c r="H50" s="7"/>
      <c r="I50" s="8"/>
      <c r="J50" s="8"/>
    </row>
    <row r="51" spans="1:10" ht="25" x14ac:dyDescent="0.35">
      <c r="A51" s="6" t="s">
        <v>1923</v>
      </c>
      <c r="B51" s="6" t="s">
        <v>1919</v>
      </c>
      <c r="C51" s="7" t="s">
        <v>1924</v>
      </c>
      <c r="D51" s="6" t="s">
        <v>884</v>
      </c>
      <c r="E51" s="7" t="s">
        <v>1925</v>
      </c>
      <c r="F51" s="6" t="s">
        <v>953</v>
      </c>
      <c r="G51" s="6" t="s">
        <v>946</v>
      </c>
      <c r="H51" s="7"/>
      <c r="I51" s="8"/>
      <c r="J51" s="8"/>
    </row>
    <row r="52" spans="1:10" x14ac:dyDescent="0.35">
      <c r="A52" s="6" t="s">
        <v>1926</v>
      </c>
      <c r="B52" s="6" t="s">
        <v>1919</v>
      </c>
      <c r="C52" s="7" t="s">
        <v>1927</v>
      </c>
      <c r="D52" s="6" t="s">
        <v>884</v>
      </c>
      <c r="E52" s="7" t="s">
        <v>1928</v>
      </c>
      <c r="F52" s="6" t="s">
        <v>1929</v>
      </c>
      <c r="G52" s="6" t="s">
        <v>1307</v>
      </c>
      <c r="H52" s="7"/>
      <c r="I52" s="8"/>
      <c r="J52" s="8"/>
    </row>
    <row r="53" spans="1:10" ht="25" x14ac:dyDescent="0.35">
      <c r="A53" s="6" t="s">
        <v>1930</v>
      </c>
      <c r="B53" s="6" t="s">
        <v>1919</v>
      </c>
      <c r="C53" s="7" t="s">
        <v>1931</v>
      </c>
      <c r="D53" s="6" t="s">
        <v>884</v>
      </c>
      <c r="E53" s="7" t="s">
        <v>1932</v>
      </c>
      <c r="F53" s="6" t="s">
        <v>1933</v>
      </c>
      <c r="G53" s="6" t="s">
        <v>1934</v>
      </c>
      <c r="H53" s="7"/>
      <c r="I53" s="8"/>
      <c r="J53" s="8"/>
    </row>
    <row r="54" spans="1:10" x14ac:dyDescent="0.35">
      <c r="A54" s="6" t="s">
        <v>1935</v>
      </c>
      <c r="B54" s="6" t="s">
        <v>1919</v>
      </c>
      <c r="C54" s="7" t="s">
        <v>1936</v>
      </c>
      <c r="D54" s="6" t="s">
        <v>884</v>
      </c>
      <c r="E54" s="7" t="s">
        <v>1937</v>
      </c>
      <c r="F54" s="6" t="s">
        <v>1938</v>
      </c>
      <c r="G54" s="6" t="s">
        <v>1463</v>
      </c>
      <c r="H54" s="7"/>
      <c r="I54" s="8"/>
      <c r="J54" s="8"/>
    </row>
    <row r="55" spans="1:10" x14ac:dyDescent="0.35">
      <c r="A55" s="6" t="s">
        <v>1939</v>
      </c>
      <c r="B55" s="6" t="s">
        <v>1919</v>
      </c>
      <c r="C55" s="7" t="s">
        <v>1940</v>
      </c>
      <c r="D55" s="6" t="s">
        <v>884</v>
      </c>
      <c r="E55" s="7" t="s">
        <v>1941</v>
      </c>
      <c r="F55" s="6" t="s">
        <v>1942</v>
      </c>
      <c r="G55" s="6" t="s">
        <v>1943</v>
      </c>
      <c r="H55" s="7"/>
      <c r="I55" s="8"/>
      <c r="J55" s="8"/>
    </row>
    <row r="56" spans="1:10" ht="25" x14ac:dyDescent="0.35">
      <c r="A56" s="6" t="s">
        <v>1944</v>
      </c>
      <c r="B56" s="6" t="s">
        <v>1919</v>
      </c>
      <c r="C56" s="7" t="s">
        <v>1945</v>
      </c>
      <c r="D56" s="6" t="s">
        <v>884</v>
      </c>
      <c r="E56" s="7" t="s">
        <v>1946</v>
      </c>
      <c r="F56" s="6" t="s">
        <v>1947</v>
      </c>
      <c r="G56" s="6" t="s">
        <v>1948</v>
      </c>
      <c r="H56" s="7"/>
      <c r="I56" s="8"/>
      <c r="J56" s="8"/>
    </row>
    <row r="57" spans="1:10" x14ac:dyDescent="0.35">
      <c r="A57" s="6" t="s">
        <v>1949</v>
      </c>
      <c r="B57" s="6" t="s">
        <v>1950</v>
      </c>
      <c r="C57" s="7" t="s">
        <v>1951</v>
      </c>
      <c r="D57" s="6" t="s">
        <v>864</v>
      </c>
      <c r="E57" s="7" t="s">
        <v>1952</v>
      </c>
      <c r="F57" s="6" t="s">
        <v>1953</v>
      </c>
      <c r="G57" s="6" t="s">
        <v>699</v>
      </c>
      <c r="H57" s="7" t="s">
        <v>1954</v>
      </c>
      <c r="I57" s="8"/>
      <c r="J57" s="8"/>
    </row>
    <row r="58" spans="1:10" x14ac:dyDescent="0.35">
      <c r="A58" s="6" t="s">
        <v>1955</v>
      </c>
      <c r="B58" s="6" t="s">
        <v>1950</v>
      </c>
      <c r="C58" s="7" t="s">
        <v>1956</v>
      </c>
      <c r="D58" s="6" t="s">
        <v>873</v>
      </c>
      <c r="E58" s="7" t="s">
        <v>1957</v>
      </c>
      <c r="F58" s="6" t="s">
        <v>1958</v>
      </c>
      <c r="G58" s="6" t="s">
        <v>703</v>
      </c>
      <c r="H58" s="7"/>
      <c r="I58" s="8"/>
      <c r="J58" s="8"/>
    </row>
    <row r="59" spans="1:10" ht="25" x14ac:dyDescent="0.35">
      <c r="A59" s="6" t="s">
        <v>1959</v>
      </c>
      <c r="B59" s="6" t="s">
        <v>1950</v>
      </c>
      <c r="C59" s="7" t="s">
        <v>1960</v>
      </c>
      <c r="D59" s="6" t="s">
        <v>873</v>
      </c>
      <c r="E59" s="7" t="s">
        <v>1961</v>
      </c>
      <c r="F59" s="6" t="s">
        <v>1962</v>
      </c>
      <c r="G59" s="6" t="s">
        <v>1463</v>
      </c>
      <c r="H59" s="7"/>
      <c r="I59" s="8"/>
      <c r="J59" s="8"/>
    </row>
    <row r="60" spans="1:10" ht="25" x14ac:dyDescent="0.35">
      <c r="A60" s="6" t="s">
        <v>1963</v>
      </c>
      <c r="B60" s="6" t="s">
        <v>1950</v>
      </c>
      <c r="C60" s="7" t="s">
        <v>1964</v>
      </c>
      <c r="D60" s="6" t="s">
        <v>873</v>
      </c>
      <c r="E60" s="7" t="s">
        <v>1965</v>
      </c>
      <c r="F60" s="6" t="s">
        <v>1562</v>
      </c>
      <c r="G60" s="6" t="s">
        <v>699</v>
      </c>
      <c r="H60" s="7"/>
      <c r="I60" s="8"/>
      <c r="J60" s="8"/>
    </row>
    <row r="61" spans="1:10" x14ac:dyDescent="0.35">
      <c r="A61" s="6" t="s">
        <v>1966</v>
      </c>
      <c r="B61" s="6" t="s">
        <v>1950</v>
      </c>
      <c r="C61" s="7" t="s">
        <v>1967</v>
      </c>
      <c r="D61" s="6" t="s">
        <v>864</v>
      </c>
      <c r="E61" s="7" t="s">
        <v>1968</v>
      </c>
      <c r="F61" s="6" t="s">
        <v>1969</v>
      </c>
      <c r="G61" s="6" t="s">
        <v>734</v>
      </c>
      <c r="H61" s="7"/>
      <c r="I61" s="8"/>
      <c r="J61" s="8"/>
    </row>
  </sheetData>
  <autoFilter ref="A1:J61" xr:uid="{00000000-0009-0000-0000-000005000000}"/>
  <dataValidations count="1">
    <dataValidation type="list" allowBlank="1" sqref="I2:I61" xr:uid="{00000000-0002-0000-0500-000000000000}">
      <formula1>"OK,A CORRIGER,A SUPPRIMER,EN ATTENTE"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zoomScaleNormal="100" workbookViewId="0"/>
  </sheetViews>
  <sheetFormatPr baseColWidth="10" defaultColWidth="8.6328125" defaultRowHeight="14.5" x14ac:dyDescent="0.35"/>
  <cols>
    <col min="1" max="1" width="26" customWidth="1"/>
    <col min="2" max="2" width="12" customWidth="1"/>
    <col min="3" max="5" width="14" customWidth="1"/>
    <col min="6" max="6" width="12" customWidth="1"/>
    <col min="7" max="7" width="14" customWidth="1"/>
  </cols>
  <sheetData>
    <row r="1" spans="1:7" ht="18" x14ac:dyDescent="0.4">
      <c r="A1" s="1" t="s">
        <v>1970</v>
      </c>
    </row>
    <row r="3" spans="1:7" x14ac:dyDescent="0.35">
      <c r="A3" s="5" t="s">
        <v>1971</v>
      </c>
      <c r="B3" s="5" t="s">
        <v>1972</v>
      </c>
      <c r="C3" s="5" t="s">
        <v>1973</v>
      </c>
      <c r="D3" s="5" t="s">
        <v>1974</v>
      </c>
      <c r="E3" s="5" t="s">
        <v>1975</v>
      </c>
      <c r="F3" s="5" t="s">
        <v>1976</v>
      </c>
      <c r="G3" s="5" t="s">
        <v>1977</v>
      </c>
    </row>
    <row r="4" spans="1:7" x14ac:dyDescent="0.35">
      <c r="A4" s="3" t="s">
        <v>1978</v>
      </c>
      <c r="B4" s="3">
        <v>96</v>
      </c>
      <c r="C4" s="3">
        <f>COUNTIF(Thésaurus!$R$2:$R$97,"OK")</f>
        <v>0</v>
      </c>
      <c r="D4" s="3">
        <f>COUNTIF(Thésaurus!$R$2:$R$97,"A CORRIGER")</f>
        <v>0</v>
      </c>
      <c r="E4" s="3">
        <f>COUNTIF(Thésaurus!$R$2:$R$97,"A SUPPRIMER")</f>
        <v>0</v>
      </c>
      <c r="F4" s="3">
        <f>B4-C4-D4-E4</f>
        <v>96</v>
      </c>
      <c r="G4" s="9">
        <f>IFERROR(C4/B4,0)</f>
        <v>0</v>
      </c>
    </row>
    <row r="5" spans="1:7" x14ac:dyDescent="0.35">
      <c r="A5" s="3" t="s">
        <v>1979</v>
      </c>
      <c r="B5" s="3">
        <v>20</v>
      </c>
      <c r="C5" s="3">
        <f>COUNTIF(Assertions_négatives!$G$2:$G$21,"OK")</f>
        <v>0</v>
      </c>
      <c r="D5" s="3">
        <f>COUNTIF(Assertions_négatives!$G$2:$G$21,"A CORRIGER")</f>
        <v>0</v>
      </c>
      <c r="E5" s="3">
        <f>COUNTIF(Assertions_négatives!$G$2:$G$21,"A SUPPRIMER")</f>
        <v>0</v>
      </c>
      <c r="F5" s="3">
        <f>B5-C5-D5-E5</f>
        <v>20</v>
      </c>
      <c r="G5" s="9">
        <f>IFERROR(C5/B5,0)</f>
        <v>0</v>
      </c>
    </row>
    <row r="6" spans="1:7" x14ac:dyDescent="0.35">
      <c r="A6" s="3" t="s">
        <v>1980</v>
      </c>
      <c r="B6" s="3">
        <v>150</v>
      </c>
      <c r="C6" s="3">
        <f>COUNTIF(Jeu_référence!$M$2:$M$151,"OK")</f>
        <v>0</v>
      </c>
      <c r="D6" s="3">
        <f>COUNTIF(Jeu_référence!$M$2:$M$151,"A CORRIGER")</f>
        <v>0</v>
      </c>
      <c r="E6" s="3">
        <f>COUNTIF(Jeu_référence!$M$2:$M$151,"A SUPPRIMER")</f>
        <v>0</v>
      </c>
      <c r="F6" s="3">
        <f>B6-C6-D6-E6</f>
        <v>150</v>
      </c>
      <c r="G6" s="9">
        <f>IFERROR(C6/B6,0)</f>
        <v>0</v>
      </c>
    </row>
    <row r="7" spans="1:7" x14ac:dyDescent="0.35">
      <c r="A7" s="3" t="s">
        <v>1981</v>
      </c>
      <c r="B7" s="3">
        <v>60</v>
      </c>
      <c r="C7" s="3">
        <f>COUNTIF(Jeu_adverse!$I$2:$I$61,"OK")</f>
        <v>0</v>
      </c>
      <c r="D7" s="3">
        <f>COUNTIF(Jeu_adverse!$I$2:$I$61,"A CORRIGER")</f>
        <v>0</v>
      </c>
      <c r="E7" s="3">
        <f>COUNTIF(Jeu_adverse!$I$2:$I$61,"A SUPPRIMER")</f>
        <v>0</v>
      </c>
      <c r="F7" s="3">
        <f>B7-C7-D7-E7</f>
        <v>60</v>
      </c>
      <c r="G7" s="9">
        <f>IFERROR(C7/B7,0)</f>
        <v>0</v>
      </c>
    </row>
    <row r="8" spans="1:7" x14ac:dyDescent="0.35">
      <c r="A8" s="10" t="s">
        <v>1982</v>
      </c>
      <c r="B8" s="10">
        <f>SUM(B4:B7)</f>
        <v>326</v>
      </c>
      <c r="C8" s="10">
        <f>SUM(C4:C7)</f>
        <v>0</v>
      </c>
      <c r="D8" s="10">
        <f>SUM(D4:D7)</f>
        <v>0</v>
      </c>
      <c r="E8" s="10">
        <f>SUM(E4:E7)</f>
        <v>0</v>
      </c>
      <c r="F8" s="10">
        <f>SUM(F4:F7)</f>
        <v>326</v>
      </c>
      <c r="G8" s="11">
        <f>IFERROR(C8/B8,0)</f>
        <v>0</v>
      </c>
    </row>
    <row r="10" spans="1:7" x14ac:dyDescent="0.35">
      <c r="A10" s="12" t="s">
        <v>1983</v>
      </c>
    </row>
    <row r="11" spans="1:7" x14ac:dyDescent="0.35">
      <c r="A11" s="13" t="s">
        <v>1984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Notice</vt:lpstr>
      <vt:lpstr>Thésaurus</vt:lpstr>
      <vt:lpstr>Assertions_négatives</vt:lpstr>
      <vt:lpstr>Variables</vt:lpstr>
      <vt:lpstr>Jeu_référence</vt:lpstr>
      <vt:lpstr>Jeu_adverse</vt:lpstr>
      <vt:lpstr>Suivi_validation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Ronan NICOLAS</cp:lastModifiedBy>
  <cp:revision>0</cp:revision>
  <dcterms:created xsi:type="dcterms:W3CDTF">2026-07-30T21:21:26Z</dcterms:created>
  <dcterms:modified xsi:type="dcterms:W3CDTF">2026-07-31T04:04:23Z</dcterms:modified>
  <dc:language>en-US</dc:language>
</cp:coreProperties>
</file>